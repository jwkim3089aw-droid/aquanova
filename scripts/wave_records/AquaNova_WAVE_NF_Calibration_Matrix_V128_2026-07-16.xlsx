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CONTROL" sheetId="1" state="visible" r:id="rId1"/>
    <sheet name="01_PASS_STAGE" sheetId="2" state="visible" r:id="rId2"/>
    <sheet name="02_TWO_PASS" sheetId="3" state="visible" r:id="rId3"/>
    <sheet name="03_MIXED_MEMBRANE" sheetId="4" state="visible" r:id="rId4"/>
    <sheet name="04_CHEM_DEGAS" sheetId="5" state="visible" r:id="rId5"/>
    <sheet name="05_COMBINED_STRESS" sheetId="6" state="visible" r:id="rId6"/>
    <sheet name="06_MEMBRANE_LIST" sheetId="7" state="visible" r:id="rId7"/>
    <sheet name="07_RUN_COMMANDS" sheetId="8" state="visible" r:id="rId8"/>
    <sheet name="08_V41_CHEM_SCHEMA" sheetId="9" state="visible" r:id="rId9"/>
    <sheet name="09_NF_BASELINE" sheetId="10" state="visible" r:id="rId10"/>
    <sheet name="10_V46_NF_NOTES" sheetId="11" state="visible" r:id="rId11"/>
    <sheet name="11_NF_CALIBRATION_V128" sheetId="12" state="visible" r:id="rId12"/>
  </sheets>
  <definedNames>
    <definedName name="_xlnm._FilterDatabase" localSheetId="11" hidden="1">'11_NF_CALIBRATION_V128'!$A$1:$DI$13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color rgb="FF17365D"/>
      <sz val="11"/>
    </font>
    <font>
      <name val="Carlito"/>
      <b val="1"/>
      <color rgb="FFFFFFFF"/>
      <sz val="12"/>
    </font>
    <font>
      <name val="Carlito"/>
      <b val="1"/>
      <sz val="11"/>
    </font>
    <font>
      <name val="Carlito"/>
      <b val="1"/>
      <color rgb="FFFFFFFF"/>
      <sz val="14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2E7D32"/>
      </patternFill>
    </fill>
  </fills>
  <borders count="20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19"/>
  </cellStyleXfs>
  <cellXfs count="18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5" pivotButton="0" quotePrefix="0" xfId="0"/>
    <xf numFmtId="0" fontId="0" fillId="4" borderId="8" pivotButton="0" quotePrefix="0" xfId="0"/>
    <xf numFmtId="0" fontId="3" fillId="4" borderId="5" pivotButton="0" quotePrefix="0" xfId="0"/>
    <xf numFmtId="0" fontId="3" fillId="4" borderId="8" pivotButton="0" quotePrefix="0" xfId="0"/>
    <xf numFmtId="0" fontId="3" fillId="4" borderId="5" applyAlignment="1" pivotButton="0" quotePrefix="0" xfId="0">
      <alignment vertical="center"/>
    </xf>
    <xf numFmtId="0" fontId="3" fillId="4" borderId="8" applyAlignment="1" pivotButton="0" quotePrefix="0" xfId="0">
      <alignment vertical="center"/>
    </xf>
    <xf numFmtId="0" fontId="0" fillId="4" borderId="14" pivotButton="0" quotePrefix="0" xfId="0"/>
    <xf numFmtId="0" fontId="0" fillId="4" borderId="17" pivotButton="0" quotePrefix="0" xfId="0"/>
    <xf numFmtId="0" fontId="3" fillId="4" borderId="14" pivotButton="0" quotePrefix="0" xfId="0"/>
    <xf numFmtId="0" fontId="3" fillId="4" borderId="17" pivotButton="0" quotePrefix="0" xfId="0"/>
    <xf numFmtId="0" fontId="3" fillId="4" borderId="14" applyAlignment="1" pivotButton="0" quotePrefix="0" xfId="0">
      <alignment vertical="center"/>
    </xf>
    <xf numFmtId="0" fontId="3" fillId="4" borderId="17" applyAlignment="1" pivotButton="0" quotePrefix="0" xfId="0">
      <alignment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6" borderId="2" pivotButton="0" quotePrefix="0" xfId="0"/>
    <xf numFmtId="0" fontId="0" fillId="6" borderId="5" pivotButton="0" quotePrefix="0" xfId="0"/>
    <xf numFmtId="0" fontId="0" fillId="6" borderId="8" pivotButton="0" quotePrefix="0" xfId="0"/>
    <xf numFmtId="0" fontId="5" fillId="6" borderId="2" pivotButton="0" quotePrefix="0" xfId="0"/>
    <xf numFmtId="0" fontId="5" fillId="6" borderId="5" pivotButton="0" quotePrefix="0" xfId="0"/>
    <xf numFmtId="0" fontId="5" fillId="6" borderId="8" pivotButton="0" quotePrefix="0" xfId="0"/>
    <xf numFmtId="0" fontId="0" fillId="6" borderId="11" pivotButton="0" quotePrefix="0" xfId="0"/>
    <xf numFmtId="0" fontId="0" fillId="6" borderId="14" pivotButton="0" quotePrefix="0" xfId="0"/>
    <xf numFmtId="0" fontId="0" fillId="6" borderId="17" pivotButton="0" quotePrefix="0" xfId="0"/>
    <xf numFmtId="0" fontId="5" fillId="6" borderId="11" pivotButton="0" quotePrefix="0" xfId="0"/>
    <xf numFmtId="0" fontId="5" fillId="6" borderId="14" pivotButton="0" quotePrefix="0" xfId="0"/>
    <xf numFmtId="0" fontId="5" fillId="6" borderId="17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0" fillId="7" borderId="1" pivotButton="0" quotePrefix="0" xfId="0"/>
    <xf numFmtId="0" fontId="1" fillId="7" borderId="1" pivotButton="0" quotePrefix="0" xfId="0"/>
    <xf numFmtId="0" fontId="1" fillId="7" borderId="2" pivotButton="0" quotePrefix="0" xfId="0"/>
    <xf numFmtId="0" fontId="1" fillId="7" borderId="3" pivotButton="0" quotePrefix="0" xfId="0"/>
    <xf numFmtId="0" fontId="1" fillId="7" borderId="4" pivotButton="0" quotePrefix="0" xfId="0"/>
    <xf numFmtId="0" fontId="1" fillId="7" borderId="11" pivotButton="0" quotePrefix="0" xfId="0"/>
    <xf numFmtId="0" fontId="1" fillId="7" borderId="12" pivotButton="0" quotePrefix="0" xfId="0"/>
    <xf numFmtId="0" fontId="1" fillId="7" borderId="13" pivotButton="0" quotePrefix="0" xfId="0"/>
    <xf numFmtId="0" fontId="0" fillId="8" borderId="5" pivotButton="0" quotePrefix="0" xfId="0"/>
    <xf numFmtId="0" fontId="0" fillId="8" borderId="6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8" borderId="9" pivotButton="0" quotePrefix="0" xfId="0"/>
    <xf numFmtId="0" fontId="0" fillId="8" borderId="10" pivotButton="0" quotePrefix="0" xfId="0"/>
    <xf numFmtId="0" fontId="0" fillId="8" borderId="14" pivotButton="0" quotePrefix="0" xfId="0"/>
    <xf numFmtId="0" fontId="0" fillId="8" borderId="15" pivotButton="0" quotePrefix="0" xfId="0"/>
    <xf numFmtId="0" fontId="0" fillId="8" borderId="16" pivotButton="0" quotePrefix="0" xfId="0"/>
    <xf numFmtId="0" fontId="0" fillId="8" borderId="17" pivotButton="0" quotePrefix="0" xfId="0"/>
    <xf numFmtId="0" fontId="0" fillId="8" borderId="18" pivotButton="0" quotePrefix="0" xfId="0"/>
    <xf numFmtId="0" fontId="0" fillId="8" borderId="19" pivotButton="0" quotePrefix="0" xfId="0"/>
    <xf numFmtId="0" fontId="0" fillId="0" borderId="0" applyAlignment="1" pivotButton="0" quotePrefix="0" xfId="0">
      <alignment wrapText="1"/>
    </xf>
    <xf numFmtId="0" fontId="1" fillId="7" borderId="2" applyAlignment="1" pivotButton="0" quotePrefix="0" xfId="0">
      <alignment wrapText="1"/>
    </xf>
    <xf numFmtId="0" fontId="1" fillId="7" borderId="3" applyAlignment="1" pivotButton="0" quotePrefix="0" xfId="0">
      <alignment wrapText="1"/>
    </xf>
    <xf numFmtId="0" fontId="1" fillId="7" borderId="4" applyAlignment="1" pivotButton="0" quotePrefix="0" xfId="0">
      <alignment wrapText="1"/>
    </xf>
    <xf numFmtId="0" fontId="0" fillId="8" borderId="5" applyAlignment="1" pivotButton="0" quotePrefix="0" xfId="0">
      <alignment wrapText="1"/>
    </xf>
    <xf numFmtId="0" fontId="0" fillId="8" borderId="6" applyAlignment="1" pivotButton="0" quotePrefix="0" xfId="0">
      <alignment wrapText="1"/>
    </xf>
    <xf numFmtId="0" fontId="0" fillId="8" borderId="7" applyAlignment="1" pivotButton="0" quotePrefix="0" xfId="0">
      <alignment wrapText="1"/>
    </xf>
    <xf numFmtId="0" fontId="0" fillId="8" borderId="8" applyAlignment="1" pivotButton="0" quotePrefix="0" xfId="0">
      <alignment wrapText="1"/>
    </xf>
    <xf numFmtId="0" fontId="0" fillId="8" borderId="9" applyAlignment="1" pivotButton="0" quotePrefix="0" xfId="0">
      <alignment wrapText="1"/>
    </xf>
    <xf numFmtId="0" fontId="0" fillId="8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7" borderId="11" applyAlignment="1" pivotButton="0" quotePrefix="0" xfId="0">
      <alignment wrapText="1"/>
    </xf>
    <xf numFmtId="0" fontId="1" fillId="7" borderId="12" applyAlignment="1" pivotButton="0" quotePrefix="0" xfId="0">
      <alignment wrapText="1"/>
    </xf>
    <xf numFmtId="0" fontId="1" fillId="7" borderId="13" applyAlignment="1" pivotButton="0" quotePrefix="0" xfId="0">
      <alignment wrapText="1"/>
    </xf>
    <xf numFmtId="0" fontId="0" fillId="8" borderId="14" applyAlignment="1" pivotButton="0" quotePrefix="0" xfId="0">
      <alignment wrapText="1"/>
    </xf>
    <xf numFmtId="0" fontId="0" fillId="8" borderId="15" applyAlignment="1" pivotButton="0" quotePrefix="0" xfId="0">
      <alignment wrapText="1"/>
    </xf>
    <xf numFmtId="0" fontId="0" fillId="8" borderId="16" applyAlignment="1" pivotButton="0" quotePrefix="0" xfId="0">
      <alignment wrapText="1"/>
    </xf>
    <xf numFmtId="0" fontId="0" fillId="8" borderId="17" applyAlignment="1" pivotButton="0" quotePrefix="0" xfId="0">
      <alignment wrapText="1"/>
    </xf>
    <xf numFmtId="0" fontId="0" fillId="8" borderId="18" applyAlignment="1" pivotButton="0" quotePrefix="0" xfId="0">
      <alignment wrapText="1"/>
    </xf>
    <xf numFmtId="0" fontId="0" fillId="8" borderId="19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6" borderId="0" pivotButton="0" quotePrefix="0" xfId="0"/>
    <xf numFmtId="0" fontId="5" fillId="6" borderId="0" pivotButton="0" quotePrefix="0" xfId="0"/>
    <xf numFmtId="0" fontId="0" fillId="8" borderId="0" pivotButton="0" quotePrefix="0" xfId="0"/>
    <xf numFmtId="0" fontId="1" fillId="7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wrapText="1"/>
    </xf>
    <xf numFmtId="0" fontId="1" fillId="9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12" borderId="0" pivotButton="0" quotePrefix="0" xfId="0"/>
    <xf numFmtId="0" fontId="6" fillId="12" borderId="0" pivotButton="0" quotePrefix="0" xfId="0"/>
    <xf numFmtId="0" fontId="6" fillId="12" borderId="0" applyAlignment="1" pivotButton="0" quotePrefix="0" xfId="0">
      <alignment horizontal="center"/>
    </xf>
    <xf numFmtId="0" fontId="6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center"/>
    </xf>
    <xf numFmtId="0" fontId="1" fillId="13" borderId="0" applyAlignment="1" pivotButton="0" quotePrefix="0" xfId="0">
      <alignment horizontal="center" wrapText="1"/>
    </xf>
    <xf numFmtId="0" fontId="2" fillId="3" borderId="19" applyAlignment="1" pivotButton="0" quotePrefix="0" xfId="0">
      <alignment horizontal="center" vertical="center"/>
    </xf>
    <xf numFmtId="0" fontId="4" fillId="5" borderId="19" applyAlignment="1" pivotButton="0" quotePrefix="0" xfId="0">
      <alignment horizontal="center" vertical="center"/>
    </xf>
    <xf numFmtId="0" fontId="1" fillId="10" borderId="19" applyAlignment="1" pivotButton="0" quotePrefix="0" xfId="0">
      <alignment horizontal="center" vertical="center"/>
    </xf>
    <xf numFmtId="0" fontId="6" fillId="12" borderId="19" applyAlignment="1" pivotButton="0" quotePrefix="0" xfId="0">
      <alignment horizontal="center" vertical="center"/>
    </xf>
    <xf numFmtId="0" fontId="0" fillId="11" borderId="19" applyAlignment="1" pivotButton="0" quotePrefix="0" xfId="0">
      <alignment wrapText="1"/>
    </xf>
    <xf numFmtId="0" fontId="5" fillId="11" borderId="19" applyAlignment="1" pivotButton="0" quotePrefix="0" xfId="0">
      <alignment wrapText="1"/>
    </xf>
  </cellXfs>
  <cellStyles count="1">
    <cellStyle name="Normal" xfId="0"/>
  </cellStyles>
  <dxfs count="15">
    <dxf>
      <font>
        <b val="1"/>
        <color rgb="FF006100"/>
      </font>
      <fill>
        <patternFill>
          <bgColor rgb="FFC6E0B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V25PassStage" displayName="V25PassStage" ref="A1:CT9" headerRowCount="1">
  <tableColumns count="98">
    <tableColumn id="1" name="Batch_Order"/>
    <tableColumn id="2" name="Batch_Group"/>
    <tableColumn id="3" name="Run_Enabled"/>
    <tableColumn id="4" name="Case_ID"/>
    <tableColumn id="5" name="Recommended_PDF_Name"/>
    <tableColumn id="6" name="Fresh_Project_Required"/>
    <tableColumn id="7" name="Test_Lane"/>
    <tableColumn id="8" name="Expected_Tier"/>
    <tableColumn id="9" name="Test_Purpose"/>
    <tableColumn id="10" name="Run_Status"/>
    <tableColumn id="11" name="Notes"/>
    <tableColumn id="12" name="WAVE_Library_Selection"/>
    <tableColumn id="13" name="Feed_Flow_m3h"/>
    <tableColumn id="14" name="Temperature_Min_C"/>
    <tableColumn id="15" name="Temperature_Design_C"/>
    <tableColumn id="16" name="Temperature_Max_C"/>
    <tableColumn id="17" name="Pass_Count"/>
    <tableColumn id="18" name="Pass1_Recovery_pct"/>
    <tableColumn id="19" name="Pass1_Temperature_Mode"/>
    <tableColumn id="20" name="Pass1_Temperature_C"/>
    <tableColumn id="21" name="Pass1_Flow_Factor"/>
    <tableColumn id="22" name="Pass1_Permeate_Back_Pressure_bar"/>
    <tableColumn id="23" name="Pass1_Stage_Count"/>
    <tableColumn id="24" name="P1S1_PV"/>
    <tableColumn id="25" name="P1S1_Elements_per_PV"/>
    <tableColumn id="26" name="P1S1_Membrane"/>
    <tableColumn id="27" name="P1S1_Stage_Back_Pressure_bar"/>
    <tableColumn id="28" name="P1S1_Boost_Pressure_bar"/>
    <tableColumn id="29" name="P1S1_Flow_Factor"/>
    <tableColumn id="30" name="P1S2_PV"/>
    <tableColumn id="31" name="P1S2_Elements_per_PV"/>
    <tableColumn id="32" name="P1S2_Membrane"/>
    <tableColumn id="33" name="P1S2_Stage_Back_Pressure_bar"/>
    <tableColumn id="34" name="P1S2_Boost_Pressure_bar"/>
    <tableColumn id="35" name="P1S2_Flow_Factor"/>
    <tableColumn id="36" name="P1S3_PV"/>
    <tableColumn id="37" name="P1S3_Elements_per_PV"/>
    <tableColumn id="38" name="P1S3_Membrane"/>
    <tableColumn id="39" name="P1S3_Stage_Back_Pressure_bar"/>
    <tableColumn id="40" name="P1S3_Boost_Pressure_bar"/>
    <tableColumn id="41" name="P1S3_Flow_Factor"/>
    <tableColumn id="42" name="P1S4_PV"/>
    <tableColumn id="43" name="P1S4_Elements_per_PV"/>
    <tableColumn id="44" name="P1S4_Membrane"/>
    <tableColumn id="45" name="P1S4_Stage_Back_Pressure_bar"/>
    <tableColumn id="46" name="P1S4_Boost_Pressure_bar"/>
    <tableColumn id="47" name="P1S4_Flow_Factor"/>
    <tableColumn id="48" name="P1S5_PV"/>
    <tableColumn id="49" name="P1S5_Elements_per_PV"/>
    <tableColumn id="50" name="P1S5_Membrane"/>
    <tableColumn id="51" name="P1S5_Stage_Back_Pressure_bar"/>
    <tableColumn id="52" name="P1S5_Boost_Pressure_bar"/>
    <tableColumn id="53" name="P1S5_Flow_Factor"/>
    <tableColumn id="54" name="Pass2_Recovery_pct"/>
    <tableColumn id="55" name="Pass2_Temperature_Mode"/>
    <tableColumn id="56" name="Pass2_Temperature_C"/>
    <tableColumn id="57" name="Pass2_Flow_Factor"/>
    <tableColumn id="58" name="Pass2_Permeate_Back_Pressure_bar"/>
    <tableColumn id="59" name="Pass2_Stage_Count"/>
    <tableColumn id="60" name="P2S1_PV"/>
    <tableColumn id="61" name="P2S1_Elements_per_PV"/>
    <tableColumn id="62" name="P2S1_Membrane"/>
    <tableColumn id="63" name="P2S1_Stage_Back_Pressure_bar"/>
    <tableColumn id="64" name="P2S1_Boost_Pressure_bar"/>
    <tableColumn id="65" name="P2S1_Flow_Factor"/>
    <tableColumn id="66" name="P2S2_PV"/>
    <tableColumn id="67" name="P2S2_Elements_per_PV"/>
    <tableColumn id="68" name="P2S2_Membrane"/>
    <tableColumn id="69" name="P2S2_Stage_Back_Pressure_bar"/>
    <tableColumn id="70" name="P2S2_Boost_Pressure_bar"/>
    <tableColumn id="71" name="P2S2_Flow_Factor"/>
    <tableColumn id="72" name="P2S3_PV"/>
    <tableColumn id="73" name="P2S3_Elements_per_PV"/>
    <tableColumn id="74" name="P2S3_Membrane"/>
    <tableColumn id="75" name="P2S3_Stage_Back_Pressure_bar"/>
    <tableColumn id="76" name="P2S3_Boost_Pressure_bar"/>
    <tableColumn id="77" name="P2S3_Flow_Factor"/>
    <tableColumn id="78" name="P2S4_PV"/>
    <tableColumn id="79" name="P2S4_Elements_per_PV"/>
    <tableColumn id="80" name="P2S4_Membrane"/>
    <tableColumn id="81" name="P2S4_Stage_Back_Pressure_bar"/>
    <tableColumn id="82" name="P2S4_Boost_Pressure_bar"/>
    <tableColumn id="83" name="P2S4_Flow_Factor"/>
    <tableColumn id="84" name="P2S5_PV"/>
    <tableColumn id="85" name="P2S5_Elements_per_PV"/>
    <tableColumn id="86" name="P2S5_Membrane"/>
    <tableColumn id="87" name="P2S5_Stage_Back_Pressure_bar"/>
    <tableColumn id="88" name="P2S5_Boost_Pressure_bar"/>
    <tableColumn id="89" name="P2S5_Flow_Factor"/>
    <tableColumn id="90" name="Acid_Enabled"/>
    <tableColumn id="91" name="Acid_Type"/>
    <tableColumn id="92" name="Acid_Target_pH"/>
    <tableColumn id="93" name="Degas_Enabled"/>
    <tableColumn id="94" name="Degas_Mode"/>
    <tableColumn id="95" name="Degas_Value"/>
    <tableColumn id="96" name="Base_Enabled"/>
    <tableColumn id="97" name="Base_Type"/>
    <tableColumn id="98" name="Base_Target_pH"/>
  </tableColumns>
  <tableStyleInfo name="TableStyleMedium2" showRowStripes="1"/>
</table>
</file>

<file path=xl/tables/table2.xml><?xml version="1.0" encoding="utf-8"?>
<table xmlns="http://schemas.openxmlformats.org/spreadsheetml/2006/main" id="2" name="V25TwoPass" displayName="V25TwoPass" ref="A1:CT7" headerRowCount="1">
  <tableColumns count="98">
    <tableColumn id="1" name="Batch_Order"/>
    <tableColumn id="2" name="Batch_Group"/>
    <tableColumn id="3" name="Run_Enabled"/>
    <tableColumn id="4" name="Case_ID"/>
    <tableColumn id="5" name="Recommended_PDF_Name"/>
    <tableColumn id="6" name="Fresh_Project_Required"/>
    <tableColumn id="7" name="Test_Lane"/>
    <tableColumn id="8" name="Expected_Tier"/>
    <tableColumn id="9" name="Test_Purpose"/>
    <tableColumn id="10" name="Run_Status"/>
    <tableColumn id="11" name="Notes"/>
    <tableColumn id="12" name="WAVE_Library_Selection"/>
    <tableColumn id="13" name="Feed_Flow_m3h"/>
    <tableColumn id="14" name="Temperature_Min_C"/>
    <tableColumn id="15" name="Temperature_Design_C"/>
    <tableColumn id="16" name="Temperature_Max_C"/>
    <tableColumn id="17" name="Pass_Count"/>
    <tableColumn id="18" name="Pass1_Recovery_pct"/>
    <tableColumn id="19" name="Pass1_Temperature_Mode"/>
    <tableColumn id="20" name="Pass1_Temperature_C"/>
    <tableColumn id="21" name="Pass1_Flow_Factor"/>
    <tableColumn id="22" name="Pass1_Permeate_Back_Pressure_bar"/>
    <tableColumn id="23" name="Pass1_Stage_Count"/>
    <tableColumn id="24" name="P1S1_PV"/>
    <tableColumn id="25" name="P1S1_Elements_per_PV"/>
    <tableColumn id="26" name="P1S1_Membrane"/>
    <tableColumn id="27" name="P1S1_Stage_Back_Pressure_bar"/>
    <tableColumn id="28" name="P1S1_Boost_Pressure_bar"/>
    <tableColumn id="29" name="P1S1_Flow_Factor"/>
    <tableColumn id="30" name="P1S2_PV"/>
    <tableColumn id="31" name="P1S2_Elements_per_PV"/>
    <tableColumn id="32" name="P1S2_Membrane"/>
    <tableColumn id="33" name="P1S2_Stage_Back_Pressure_bar"/>
    <tableColumn id="34" name="P1S2_Boost_Pressure_bar"/>
    <tableColumn id="35" name="P1S2_Flow_Factor"/>
    <tableColumn id="36" name="P1S3_PV"/>
    <tableColumn id="37" name="P1S3_Elements_per_PV"/>
    <tableColumn id="38" name="P1S3_Membrane"/>
    <tableColumn id="39" name="P1S3_Stage_Back_Pressure_bar"/>
    <tableColumn id="40" name="P1S3_Boost_Pressure_bar"/>
    <tableColumn id="41" name="P1S3_Flow_Factor"/>
    <tableColumn id="42" name="P1S4_PV"/>
    <tableColumn id="43" name="P1S4_Elements_per_PV"/>
    <tableColumn id="44" name="P1S4_Membrane"/>
    <tableColumn id="45" name="P1S4_Stage_Back_Pressure_bar"/>
    <tableColumn id="46" name="P1S4_Boost_Pressure_bar"/>
    <tableColumn id="47" name="P1S4_Flow_Factor"/>
    <tableColumn id="48" name="P1S5_PV"/>
    <tableColumn id="49" name="P1S5_Elements_per_PV"/>
    <tableColumn id="50" name="P1S5_Membrane"/>
    <tableColumn id="51" name="P1S5_Stage_Back_Pressure_bar"/>
    <tableColumn id="52" name="P1S5_Boost_Pressure_bar"/>
    <tableColumn id="53" name="P1S5_Flow_Factor"/>
    <tableColumn id="54" name="Pass2_Recovery_pct"/>
    <tableColumn id="55" name="Pass2_Temperature_Mode"/>
    <tableColumn id="56" name="Pass2_Temperature_C"/>
    <tableColumn id="57" name="Pass2_Flow_Factor"/>
    <tableColumn id="58" name="Pass2_Permeate_Back_Pressure_bar"/>
    <tableColumn id="59" name="Pass2_Stage_Count"/>
    <tableColumn id="60" name="P2S1_PV"/>
    <tableColumn id="61" name="P2S1_Elements_per_PV"/>
    <tableColumn id="62" name="P2S1_Membrane"/>
    <tableColumn id="63" name="P2S1_Stage_Back_Pressure_bar"/>
    <tableColumn id="64" name="P2S1_Boost_Pressure_bar"/>
    <tableColumn id="65" name="P2S1_Flow_Factor"/>
    <tableColumn id="66" name="P2S2_PV"/>
    <tableColumn id="67" name="P2S2_Elements_per_PV"/>
    <tableColumn id="68" name="P2S2_Membrane"/>
    <tableColumn id="69" name="P2S2_Stage_Back_Pressure_bar"/>
    <tableColumn id="70" name="P2S2_Boost_Pressure_bar"/>
    <tableColumn id="71" name="P2S2_Flow_Factor"/>
    <tableColumn id="72" name="P2S3_PV"/>
    <tableColumn id="73" name="P2S3_Elements_per_PV"/>
    <tableColumn id="74" name="P2S3_Membrane"/>
    <tableColumn id="75" name="P2S3_Stage_Back_Pressure_bar"/>
    <tableColumn id="76" name="P2S3_Boost_Pressure_bar"/>
    <tableColumn id="77" name="P2S3_Flow_Factor"/>
    <tableColumn id="78" name="P2S4_PV"/>
    <tableColumn id="79" name="P2S4_Elements_per_PV"/>
    <tableColumn id="80" name="P2S4_Membrane"/>
    <tableColumn id="81" name="P2S4_Stage_Back_Pressure_bar"/>
    <tableColumn id="82" name="P2S4_Boost_Pressure_bar"/>
    <tableColumn id="83" name="P2S4_Flow_Factor"/>
    <tableColumn id="84" name="P2S5_PV"/>
    <tableColumn id="85" name="P2S5_Elements_per_PV"/>
    <tableColumn id="86" name="P2S5_Membrane"/>
    <tableColumn id="87" name="P2S5_Stage_Back_Pressure_bar"/>
    <tableColumn id="88" name="P2S5_Boost_Pressure_bar"/>
    <tableColumn id="89" name="P2S5_Flow_Factor"/>
    <tableColumn id="90" name="Acid_Enabled"/>
    <tableColumn id="91" name="Acid_Type"/>
    <tableColumn id="92" name="Acid_Target_pH"/>
    <tableColumn id="93" name="Degas_Enabled"/>
    <tableColumn id="94" name="Degas_Mode"/>
    <tableColumn id="95" name="Degas_Value"/>
    <tableColumn id="96" name="Base_Enabled"/>
    <tableColumn id="97" name="Base_Type"/>
    <tableColumn id="98" name="Base_Target_pH"/>
  </tableColumns>
  <tableStyleInfo name="TableStyleMedium2" showRowStripes="1"/>
</table>
</file>

<file path=xl/tables/table3.xml><?xml version="1.0" encoding="utf-8"?>
<table xmlns="http://schemas.openxmlformats.org/spreadsheetml/2006/main" id="3" name="V25MixedMembrane" displayName="V25MixedMembrane" ref="A1:CT9" headerRowCount="1">
  <tableColumns count="98">
    <tableColumn id="1" name="Batch_Order"/>
    <tableColumn id="2" name="Batch_Group"/>
    <tableColumn id="3" name="Run_Enabled"/>
    <tableColumn id="4" name="Case_ID"/>
    <tableColumn id="5" name="Recommended_PDF_Name"/>
    <tableColumn id="6" name="Fresh_Project_Required"/>
    <tableColumn id="7" name="Test_Lane"/>
    <tableColumn id="8" name="Expected_Tier"/>
    <tableColumn id="9" name="Test_Purpose"/>
    <tableColumn id="10" name="Run_Status"/>
    <tableColumn id="11" name="Notes"/>
    <tableColumn id="12" name="WAVE_Library_Selection"/>
    <tableColumn id="13" name="Feed_Flow_m3h"/>
    <tableColumn id="14" name="Temperature_Min_C"/>
    <tableColumn id="15" name="Temperature_Design_C"/>
    <tableColumn id="16" name="Temperature_Max_C"/>
    <tableColumn id="17" name="Pass_Count"/>
    <tableColumn id="18" name="Pass1_Recovery_pct"/>
    <tableColumn id="19" name="Pass1_Temperature_Mode"/>
    <tableColumn id="20" name="Pass1_Temperature_C"/>
    <tableColumn id="21" name="Pass1_Flow_Factor"/>
    <tableColumn id="22" name="Pass1_Permeate_Back_Pressure_bar"/>
    <tableColumn id="23" name="Pass1_Stage_Count"/>
    <tableColumn id="24" name="P1S1_PV"/>
    <tableColumn id="25" name="P1S1_Elements_per_PV"/>
    <tableColumn id="26" name="P1S1_Membrane"/>
    <tableColumn id="27" name="P1S1_Stage_Back_Pressure_bar"/>
    <tableColumn id="28" name="P1S1_Boost_Pressure_bar"/>
    <tableColumn id="29" name="P1S1_Flow_Factor"/>
    <tableColumn id="30" name="P1S2_PV"/>
    <tableColumn id="31" name="P1S2_Elements_per_PV"/>
    <tableColumn id="32" name="P1S2_Membrane"/>
    <tableColumn id="33" name="P1S2_Stage_Back_Pressure_bar"/>
    <tableColumn id="34" name="P1S2_Boost_Pressure_bar"/>
    <tableColumn id="35" name="P1S2_Flow_Factor"/>
    <tableColumn id="36" name="P1S3_PV"/>
    <tableColumn id="37" name="P1S3_Elements_per_PV"/>
    <tableColumn id="38" name="P1S3_Membrane"/>
    <tableColumn id="39" name="P1S3_Stage_Back_Pressure_bar"/>
    <tableColumn id="40" name="P1S3_Boost_Pressure_bar"/>
    <tableColumn id="41" name="P1S3_Flow_Factor"/>
    <tableColumn id="42" name="P1S4_PV"/>
    <tableColumn id="43" name="P1S4_Elements_per_PV"/>
    <tableColumn id="44" name="P1S4_Membrane"/>
    <tableColumn id="45" name="P1S4_Stage_Back_Pressure_bar"/>
    <tableColumn id="46" name="P1S4_Boost_Pressure_bar"/>
    <tableColumn id="47" name="P1S4_Flow_Factor"/>
    <tableColumn id="48" name="P1S5_PV"/>
    <tableColumn id="49" name="P1S5_Elements_per_PV"/>
    <tableColumn id="50" name="P1S5_Membrane"/>
    <tableColumn id="51" name="P1S5_Stage_Back_Pressure_bar"/>
    <tableColumn id="52" name="P1S5_Boost_Pressure_bar"/>
    <tableColumn id="53" name="P1S5_Flow_Factor"/>
    <tableColumn id="54" name="Pass2_Recovery_pct"/>
    <tableColumn id="55" name="Pass2_Temperature_Mode"/>
    <tableColumn id="56" name="Pass2_Temperature_C"/>
    <tableColumn id="57" name="Pass2_Flow_Factor"/>
    <tableColumn id="58" name="Pass2_Permeate_Back_Pressure_bar"/>
    <tableColumn id="59" name="Pass2_Stage_Count"/>
    <tableColumn id="60" name="P2S1_PV"/>
    <tableColumn id="61" name="P2S1_Elements_per_PV"/>
    <tableColumn id="62" name="P2S1_Membrane"/>
    <tableColumn id="63" name="P2S1_Stage_Back_Pressure_bar"/>
    <tableColumn id="64" name="P2S1_Boost_Pressure_bar"/>
    <tableColumn id="65" name="P2S1_Flow_Factor"/>
    <tableColumn id="66" name="P2S2_PV"/>
    <tableColumn id="67" name="P2S2_Elements_per_PV"/>
    <tableColumn id="68" name="P2S2_Membrane"/>
    <tableColumn id="69" name="P2S2_Stage_Back_Pressure_bar"/>
    <tableColumn id="70" name="P2S2_Boost_Pressure_bar"/>
    <tableColumn id="71" name="P2S2_Flow_Factor"/>
    <tableColumn id="72" name="P2S3_PV"/>
    <tableColumn id="73" name="P2S3_Elements_per_PV"/>
    <tableColumn id="74" name="P2S3_Membrane"/>
    <tableColumn id="75" name="P2S3_Stage_Back_Pressure_bar"/>
    <tableColumn id="76" name="P2S3_Boost_Pressure_bar"/>
    <tableColumn id="77" name="P2S3_Flow_Factor"/>
    <tableColumn id="78" name="P2S4_PV"/>
    <tableColumn id="79" name="P2S4_Elements_per_PV"/>
    <tableColumn id="80" name="P2S4_Membrane"/>
    <tableColumn id="81" name="P2S4_Stage_Back_Pressure_bar"/>
    <tableColumn id="82" name="P2S4_Boost_Pressure_bar"/>
    <tableColumn id="83" name="P2S4_Flow_Factor"/>
    <tableColumn id="84" name="P2S5_PV"/>
    <tableColumn id="85" name="P2S5_Elements_per_PV"/>
    <tableColumn id="86" name="P2S5_Membrane"/>
    <tableColumn id="87" name="P2S5_Stage_Back_Pressure_bar"/>
    <tableColumn id="88" name="P2S5_Boost_Pressure_bar"/>
    <tableColumn id="89" name="P2S5_Flow_Factor"/>
    <tableColumn id="90" name="Acid_Enabled"/>
    <tableColumn id="91" name="Acid_Type"/>
    <tableColumn id="92" name="Acid_Target_pH"/>
    <tableColumn id="93" name="Degas_Enabled"/>
    <tableColumn id="94" name="Degas_Mode"/>
    <tableColumn id="95" name="Degas_Value"/>
    <tableColumn id="96" name="Base_Enabled"/>
    <tableColumn id="97" name="Base_Type"/>
    <tableColumn id="98" name="Base_Target_pH"/>
  </tableColumns>
  <tableStyleInfo name="TableStyleMedium2" showRowStripes="1"/>
</table>
</file>

<file path=xl/tables/table4.xml><?xml version="1.0" encoding="utf-8"?>
<table xmlns="http://schemas.openxmlformats.org/spreadsheetml/2006/main" id="4" name="V25ChemDegas" displayName="V25ChemDegas" ref="A1:CT10" headerRowCount="1">
  <tableColumns count="98">
    <tableColumn id="1" name="Batch_Order"/>
    <tableColumn id="2" name="Batch_Group"/>
    <tableColumn id="3" name="Run_Enabled"/>
    <tableColumn id="4" name="Case_ID"/>
    <tableColumn id="5" name="Recommended_PDF_Name"/>
    <tableColumn id="6" name="Fresh_Project_Required"/>
    <tableColumn id="7" name="Test_Lane"/>
    <tableColumn id="8" name="Expected_Tier"/>
    <tableColumn id="9" name="Test_Purpose"/>
    <tableColumn id="10" name="Run_Status"/>
    <tableColumn id="11" name="Notes"/>
    <tableColumn id="12" name="WAVE_Library_Selection"/>
    <tableColumn id="13" name="Feed_Flow_m3h"/>
    <tableColumn id="14" name="Temperature_Min_C"/>
    <tableColumn id="15" name="Temperature_Design_C"/>
    <tableColumn id="16" name="Temperature_Max_C"/>
    <tableColumn id="17" name="Pass_Count"/>
    <tableColumn id="18" name="Pass1_Recovery_pct"/>
    <tableColumn id="19" name="Pass1_Temperature_Mode"/>
    <tableColumn id="20" name="Pass1_Temperature_C"/>
    <tableColumn id="21" name="Pass1_Flow_Factor"/>
    <tableColumn id="22" name="Pass1_Permeate_Back_Pressure_bar"/>
    <tableColumn id="23" name="Pass1_Stage_Count"/>
    <tableColumn id="24" name="P1S1_PV"/>
    <tableColumn id="25" name="P1S1_Elements_per_PV"/>
    <tableColumn id="26" name="P1S1_Membrane"/>
    <tableColumn id="27" name="P1S1_Stage_Back_Pressure_bar"/>
    <tableColumn id="28" name="P1S1_Boost_Pressure_bar"/>
    <tableColumn id="29" name="P1S1_Flow_Factor"/>
    <tableColumn id="30" name="P1S2_PV"/>
    <tableColumn id="31" name="P1S2_Elements_per_PV"/>
    <tableColumn id="32" name="P1S2_Membrane"/>
    <tableColumn id="33" name="P1S2_Stage_Back_Pressure_bar"/>
    <tableColumn id="34" name="P1S2_Boost_Pressure_bar"/>
    <tableColumn id="35" name="P1S2_Flow_Factor"/>
    <tableColumn id="36" name="P1S3_PV"/>
    <tableColumn id="37" name="P1S3_Elements_per_PV"/>
    <tableColumn id="38" name="P1S3_Membrane"/>
    <tableColumn id="39" name="P1S3_Stage_Back_Pressure_bar"/>
    <tableColumn id="40" name="P1S3_Boost_Pressure_bar"/>
    <tableColumn id="41" name="P1S3_Flow_Factor"/>
    <tableColumn id="42" name="P1S4_PV"/>
    <tableColumn id="43" name="P1S4_Elements_per_PV"/>
    <tableColumn id="44" name="P1S4_Membrane"/>
    <tableColumn id="45" name="P1S4_Stage_Back_Pressure_bar"/>
    <tableColumn id="46" name="P1S4_Boost_Pressure_bar"/>
    <tableColumn id="47" name="P1S4_Flow_Factor"/>
    <tableColumn id="48" name="P1S5_PV"/>
    <tableColumn id="49" name="P1S5_Elements_per_PV"/>
    <tableColumn id="50" name="P1S5_Membrane"/>
    <tableColumn id="51" name="P1S5_Stage_Back_Pressure_bar"/>
    <tableColumn id="52" name="P1S5_Boost_Pressure_bar"/>
    <tableColumn id="53" name="P1S5_Flow_Factor"/>
    <tableColumn id="54" name="Pass2_Recovery_pct"/>
    <tableColumn id="55" name="Pass2_Temperature_Mode"/>
    <tableColumn id="56" name="Pass2_Temperature_C"/>
    <tableColumn id="57" name="Pass2_Flow_Factor"/>
    <tableColumn id="58" name="Pass2_Permeate_Back_Pressure_bar"/>
    <tableColumn id="59" name="Pass2_Stage_Count"/>
    <tableColumn id="60" name="P2S1_PV"/>
    <tableColumn id="61" name="P2S1_Elements_per_PV"/>
    <tableColumn id="62" name="P2S1_Membrane"/>
    <tableColumn id="63" name="P2S1_Stage_Back_Pressure_bar"/>
    <tableColumn id="64" name="P2S1_Boost_Pressure_bar"/>
    <tableColumn id="65" name="P2S1_Flow_Factor"/>
    <tableColumn id="66" name="P2S2_PV"/>
    <tableColumn id="67" name="P2S2_Elements_per_PV"/>
    <tableColumn id="68" name="P2S2_Membrane"/>
    <tableColumn id="69" name="P2S2_Stage_Back_Pressure_bar"/>
    <tableColumn id="70" name="P2S2_Boost_Pressure_bar"/>
    <tableColumn id="71" name="P2S2_Flow_Factor"/>
    <tableColumn id="72" name="P2S3_PV"/>
    <tableColumn id="73" name="P2S3_Elements_per_PV"/>
    <tableColumn id="74" name="P2S3_Membrane"/>
    <tableColumn id="75" name="P2S3_Stage_Back_Pressure_bar"/>
    <tableColumn id="76" name="P2S3_Boost_Pressure_bar"/>
    <tableColumn id="77" name="P2S3_Flow_Factor"/>
    <tableColumn id="78" name="P2S4_PV"/>
    <tableColumn id="79" name="P2S4_Elements_per_PV"/>
    <tableColumn id="80" name="P2S4_Membrane"/>
    <tableColumn id="81" name="P2S4_Stage_Back_Pressure_bar"/>
    <tableColumn id="82" name="P2S4_Boost_Pressure_bar"/>
    <tableColumn id="83" name="P2S4_Flow_Factor"/>
    <tableColumn id="84" name="P2S5_PV"/>
    <tableColumn id="85" name="P2S5_Elements_per_PV"/>
    <tableColumn id="86" name="P2S5_Membrane"/>
    <tableColumn id="87" name="P2S5_Stage_Back_Pressure_bar"/>
    <tableColumn id="88" name="P2S5_Boost_Pressure_bar"/>
    <tableColumn id="89" name="P2S5_Flow_Factor"/>
    <tableColumn id="90" name="Acid_Enabled"/>
    <tableColumn id="91" name="Acid_Type"/>
    <tableColumn id="92" name="Acid_Target_pH"/>
    <tableColumn id="93" name="Degas_Enabled"/>
    <tableColumn id="94" name="Degas_Mode"/>
    <tableColumn id="95" name="Degas_Value"/>
    <tableColumn id="96" name="Base_Enabled"/>
    <tableColumn id="97" name="Base_Type"/>
    <tableColumn id="98" name="Base_Target_pH"/>
  </tableColumns>
  <tableStyleInfo name="TableStyleMedium2" showRowStripes="1"/>
</table>
</file>

<file path=xl/tables/table5.xml><?xml version="1.0" encoding="utf-8"?>
<table xmlns="http://schemas.openxmlformats.org/spreadsheetml/2006/main" id="5" name="V25CombinedStress" displayName="V25CombinedStress" ref="A1:CT6" headerRowCount="1">
  <tableColumns count="98">
    <tableColumn id="1" name="Batch_Order"/>
    <tableColumn id="2" name="Batch_Group"/>
    <tableColumn id="3" name="Run_Enabled"/>
    <tableColumn id="4" name="Case_ID"/>
    <tableColumn id="5" name="Recommended_PDF_Name"/>
    <tableColumn id="6" name="Fresh_Project_Required"/>
    <tableColumn id="7" name="Test_Lane"/>
    <tableColumn id="8" name="Expected_Tier"/>
    <tableColumn id="9" name="Test_Purpose"/>
    <tableColumn id="10" name="Run_Status"/>
    <tableColumn id="11" name="Notes"/>
    <tableColumn id="12" name="WAVE_Library_Selection"/>
    <tableColumn id="13" name="Feed_Flow_m3h"/>
    <tableColumn id="14" name="Temperature_Min_C"/>
    <tableColumn id="15" name="Temperature_Design_C"/>
    <tableColumn id="16" name="Temperature_Max_C"/>
    <tableColumn id="17" name="Pass_Count"/>
    <tableColumn id="18" name="Pass1_Recovery_pct"/>
    <tableColumn id="19" name="Pass1_Temperature_Mode"/>
    <tableColumn id="20" name="Pass1_Temperature_C"/>
    <tableColumn id="21" name="Pass1_Flow_Factor"/>
    <tableColumn id="22" name="Pass1_Permeate_Back_Pressure_bar"/>
    <tableColumn id="23" name="Pass1_Stage_Count"/>
    <tableColumn id="24" name="P1S1_PV"/>
    <tableColumn id="25" name="P1S1_Elements_per_PV"/>
    <tableColumn id="26" name="P1S1_Membrane"/>
    <tableColumn id="27" name="P1S1_Stage_Back_Pressure_bar"/>
    <tableColumn id="28" name="P1S1_Boost_Pressure_bar"/>
    <tableColumn id="29" name="P1S1_Flow_Factor"/>
    <tableColumn id="30" name="P1S2_PV"/>
    <tableColumn id="31" name="P1S2_Elements_per_PV"/>
    <tableColumn id="32" name="P1S2_Membrane"/>
    <tableColumn id="33" name="P1S2_Stage_Back_Pressure_bar"/>
    <tableColumn id="34" name="P1S2_Boost_Pressure_bar"/>
    <tableColumn id="35" name="P1S2_Flow_Factor"/>
    <tableColumn id="36" name="P1S3_PV"/>
    <tableColumn id="37" name="P1S3_Elements_per_PV"/>
    <tableColumn id="38" name="P1S3_Membrane"/>
    <tableColumn id="39" name="P1S3_Stage_Back_Pressure_bar"/>
    <tableColumn id="40" name="P1S3_Boost_Pressure_bar"/>
    <tableColumn id="41" name="P1S3_Flow_Factor"/>
    <tableColumn id="42" name="P1S4_PV"/>
    <tableColumn id="43" name="P1S4_Elements_per_PV"/>
    <tableColumn id="44" name="P1S4_Membrane"/>
    <tableColumn id="45" name="P1S4_Stage_Back_Pressure_bar"/>
    <tableColumn id="46" name="P1S4_Boost_Pressure_bar"/>
    <tableColumn id="47" name="P1S4_Flow_Factor"/>
    <tableColumn id="48" name="P1S5_PV"/>
    <tableColumn id="49" name="P1S5_Elements_per_PV"/>
    <tableColumn id="50" name="P1S5_Membrane"/>
    <tableColumn id="51" name="P1S5_Stage_Back_Pressure_bar"/>
    <tableColumn id="52" name="P1S5_Boost_Pressure_bar"/>
    <tableColumn id="53" name="P1S5_Flow_Factor"/>
    <tableColumn id="54" name="Pass2_Recovery_pct"/>
    <tableColumn id="55" name="Pass2_Temperature_Mode"/>
    <tableColumn id="56" name="Pass2_Temperature_C"/>
    <tableColumn id="57" name="Pass2_Flow_Factor"/>
    <tableColumn id="58" name="Pass2_Permeate_Back_Pressure_bar"/>
    <tableColumn id="59" name="Pass2_Stage_Count"/>
    <tableColumn id="60" name="P2S1_PV"/>
    <tableColumn id="61" name="P2S1_Elements_per_PV"/>
    <tableColumn id="62" name="P2S1_Membrane"/>
    <tableColumn id="63" name="P2S1_Stage_Back_Pressure_bar"/>
    <tableColumn id="64" name="P2S1_Boost_Pressure_bar"/>
    <tableColumn id="65" name="P2S1_Flow_Factor"/>
    <tableColumn id="66" name="P2S2_PV"/>
    <tableColumn id="67" name="P2S2_Elements_per_PV"/>
    <tableColumn id="68" name="P2S2_Membrane"/>
    <tableColumn id="69" name="P2S2_Stage_Back_Pressure_bar"/>
    <tableColumn id="70" name="P2S2_Boost_Pressure_bar"/>
    <tableColumn id="71" name="P2S2_Flow_Factor"/>
    <tableColumn id="72" name="P2S3_PV"/>
    <tableColumn id="73" name="P2S3_Elements_per_PV"/>
    <tableColumn id="74" name="P2S3_Membrane"/>
    <tableColumn id="75" name="P2S3_Stage_Back_Pressure_bar"/>
    <tableColumn id="76" name="P2S3_Boost_Pressure_bar"/>
    <tableColumn id="77" name="P2S3_Flow_Factor"/>
    <tableColumn id="78" name="P2S4_PV"/>
    <tableColumn id="79" name="P2S4_Elements_per_PV"/>
    <tableColumn id="80" name="P2S4_Membrane"/>
    <tableColumn id="81" name="P2S4_Stage_Back_Pressure_bar"/>
    <tableColumn id="82" name="P2S4_Boost_Pressure_bar"/>
    <tableColumn id="83" name="P2S4_Flow_Factor"/>
    <tableColumn id="84" name="P2S5_PV"/>
    <tableColumn id="85" name="P2S5_Elements_per_PV"/>
    <tableColumn id="86" name="P2S5_Membrane"/>
    <tableColumn id="87" name="P2S5_Stage_Back_Pressure_bar"/>
    <tableColumn id="88" name="P2S5_Boost_Pressure_bar"/>
    <tableColumn id="89" name="P2S5_Flow_Factor"/>
    <tableColumn id="90" name="Acid_Enabled"/>
    <tableColumn id="91" name="Acid_Type"/>
    <tableColumn id="92" name="Acid_Target_pH"/>
    <tableColumn id="93" name="Degas_Enabled"/>
    <tableColumn id="94" name="Degas_Mode"/>
    <tableColumn id="95" name="Degas_Value"/>
    <tableColumn id="96" name="Base_Enabled"/>
    <tableColumn id="97" name="Base_Type"/>
    <tableColumn id="98" name="Base_Target_pH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style="146" min="1" max="1"/>
    <col width="28" customWidth="1" style="146" min="2" max="2"/>
    <col width="20" customWidth="1" style="146" min="3" max="3"/>
    <col width="20" customWidth="1" style="146" min="4" max="4"/>
    <col width="20" customWidth="1" style="146" min="5" max="5"/>
    <col width="20" customWidth="1" style="146" min="6" max="6"/>
    <col width="20" customWidth="1" style="146" min="7" max="7"/>
    <col width="20" customWidth="1" style="146" min="8" max="8"/>
  </cols>
  <sheetData>
    <row r="1" ht="21.60000038146973" customHeight="1" s="146">
      <c r="A1" s="176" t="inlineStr">
        <is>
          <t>AquaNova × WAVE V25 전체 실험 테스트 매트릭스</t>
        </is>
      </c>
      <c r="B1" s="29" t="n"/>
      <c r="C1" s="29" t="n"/>
      <c r="D1" s="29" t="n"/>
      <c r="E1" s="29" t="n"/>
      <c r="F1" s="29" t="n"/>
      <c r="G1" s="29" t="n"/>
      <c r="H1" s="29" t="n"/>
    </row>
    <row r="2" ht="21.60000038146973" customHeight="1" s="146">
      <c r="A2" s="29" t="n"/>
      <c r="B2" s="29" t="n"/>
      <c r="C2" s="29" t="n"/>
      <c r="D2" s="29" t="n"/>
      <c r="E2" s="29" t="n"/>
      <c r="F2" s="29" t="n"/>
      <c r="G2" s="29" t="n"/>
      <c r="H2" s="29" t="n"/>
    </row>
    <row r="4" ht="15" customHeight="1" s="146">
      <c r="A4" s="12" t="inlineStr">
        <is>
          <t>테스트 Lane</t>
        </is>
      </c>
      <c r="B4" s="13" t="inlineStr">
        <is>
          <t>시트</t>
        </is>
      </c>
      <c r="C4" s="13" t="inlineStr">
        <is>
          <t>사례 수</t>
        </is>
      </c>
      <c r="D4" s="13" t="inlineStr">
        <is>
          <t>기본 실행</t>
        </is>
      </c>
      <c r="E4" s="13" t="inlineStr">
        <is>
          <t>필요 옵션</t>
        </is>
      </c>
      <c r="F4" s="13" t="inlineStr">
        <is>
          <t>새 프로젝트</t>
        </is>
      </c>
      <c r="G4" s="13" t="inlineStr">
        <is>
          <t>현재 검증 수준</t>
        </is>
      </c>
      <c r="H4" s="14" t="inlineStr">
        <is>
          <t>목적</t>
        </is>
      </c>
    </row>
    <row r="5" ht="26.39999961853027" customHeight="1" s="146">
      <c r="A5" s="30" t="inlineStr">
        <is>
          <t>Pass/Stage</t>
        </is>
      </c>
      <c r="B5" s="31" t="inlineStr">
        <is>
          <t>01_PASS_STAGE</t>
        </is>
      </c>
      <c r="C5" s="31" t="n">
        <v>8</v>
      </c>
      <c r="D5" s="31" t="inlineStr">
        <is>
          <t>1개씩 → 전체</t>
        </is>
      </c>
      <c r="E5" s="31" t="inlineStr">
        <is>
          <t>기본</t>
        </is>
      </c>
      <c r="F5" s="31" t="inlineStr">
        <is>
          <t>첫 사례 전</t>
        </is>
      </c>
      <c r="G5" s="31" t="inlineStr">
        <is>
          <t>V24 3-Stage 성공</t>
        </is>
      </c>
      <c r="H5" s="32" t="inlineStr">
        <is>
          <t>1~5 Stage, 온도 모드, 압력, Flow Factor</t>
        </is>
      </c>
    </row>
    <row r="6" ht="26.39999961853027" customHeight="1" s="146">
      <c r="A6" s="30" t="inlineStr">
        <is>
          <t>2 Pass</t>
        </is>
      </c>
      <c r="B6" s="31" t="inlineStr">
        <is>
          <t>02_TWO_PASS</t>
        </is>
      </c>
      <c r="C6" s="31" t="n">
        <v>6</v>
      </c>
      <c r="D6" s="31" t="inlineStr">
        <is>
          <t>반드시 1개씩</t>
        </is>
      </c>
      <c r="E6" s="31" t="inlineStr">
        <is>
          <t>--allow-experimental-ro</t>
        </is>
      </c>
      <c r="F6" s="31" t="inlineStr">
        <is>
          <t>매 사례</t>
        </is>
      </c>
      <c r="G6" s="31" t="inlineStr">
        <is>
          <t>미검증</t>
        </is>
      </c>
      <c r="H6" s="32" t="inlineStr">
        <is>
          <t>Pass별 Recovery/온도/Stage/막</t>
        </is>
      </c>
    </row>
    <row r="7" ht="26.39999961853027" customHeight="1" s="146">
      <c r="A7" s="30" t="inlineStr">
        <is>
          <t>Mixed Membrane</t>
        </is>
      </c>
      <c r="B7" s="31" t="inlineStr">
        <is>
          <t>03_MIXED_MEMBRANE</t>
        </is>
      </c>
      <c r="C7" s="31" t="n">
        <v>8</v>
      </c>
      <c r="D7" s="31" t="inlineStr">
        <is>
          <t>1개씩 → 소그룹</t>
        </is>
      </c>
      <c r="E7" s="31" t="inlineStr">
        <is>
          <t>기본</t>
        </is>
      </c>
      <c r="F7" s="31" t="inlineStr">
        <is>
          <t>매 사례 권장</t>
        </is>
      </c>
      <c r="G7" s="31" t="inlineStr">
        <is>
          <t>정확 선택 경로 검증 필요</t>
        </is>
      </c>
      <c r="H7" s="32" t="inlineStr">
        <is>
          <t>Stage별 여러 막</t>
        </is>
      </c>
    </row>
    <row r="8" ht="15" customHeight="1" s="146">
      <c r="A8" s="30" t="inlineStr">
        <is>
          <t>Chemical/Degas</t>
        </is>
      </c>
      <c r="B8" s="31" t="inlineStr">
        <is>
          <t>04_CHEM_DEGAS</t>
        </is>
      </c>
      <c r="C8" s="31" t="n">
        <v>9</v>
      </c>
      <c r="D8" s="31" t="inlineStr">
        <is>
          <t>반드시 1개씩</t>
        </is>
      </c>
      <c r="E8" s="31" t="inlineStr">
        <is>
          <t>--allow-experimental-ro</t>
        </is>
      </c>
      <c r="F8" s="31" t="inlineStr">
        <is>
          <t>매 사례</t>
        </is>
      </c>
      <c r="G8" s="31" t="inlineStr">
        <is>
          <t>미검증</t>
        </is>
      </c>
      <c r="H8" s="32" t="inlineStr">
        <is>
          <t>HCl/H2SO4/CO2/NaOH</t>
        </is>
      </c>
    </row>
    <row r="9" ht="26.39999961853027" customHeight="1" s="146">
      <c r="A9" s="33" t="inlineStr">
        <is>
          <t>Combined Stress</t>
        </is>
      </c>
      <c r="B9" s="34" t="inlineStr">
        <is>
          <t>05_COMBINED_STRESS</t>
        </is>
      </c>
      <c r="C9" s="34" t="n">
        <v>5</v>
      </c>
      <c r="D9" s="34" t="inlineStr">
        <is>
          <t>반드시 1개씩</t>
        </is>
      </c>
      <c r="E9" s="34" t="inlineStr">
        <is>
          <t>--allow-experimental-ro</t>
        </is>
      </c>
      <c r="F9" s="34" t="inlineStr">
        <is>
          <t>매 사례</t>
        </is>
      </c>
      <c r="G9" s="34" t="inlineStr">
        <is>
          <t>미검증</t>
        </is>
      </c>
      <c r="H9" s="35" t="inlineStr">
        <is>
          <t>2 Pass + 막 + 압력 + Chemical</t>
        </is>
      </c>
    </row>
    <row r="11" ht="15" customHeight="1" s="146">
      <c r="A11" s="12" t="inlineStr">
        <is>
          <t>KPI</t>
        </is>
      </c>
      <c r="B11" s="13" t="inlineStr">
        <is>
          <t>값</t>
        </is>
      </c>
      <c r="C11" s="13" t="inlineStr">
        <is>
          <t>설명</t>
        </is>
      </c>
      <c r="D11" s="14" t="inlineStr">
        <is>
          <t>주의</t>
        </is>
      </c>
    </row>
    <row r="12" ht="15" customHeight="1" s="146">
      <c r="A12" s="66" t="inlineStr">
        <is>
          <t>전체 테스트 수</t>
        </is>
      </c>
      <c r="B12" s="16">
        <f>SUM(C5:C9)</f>
        <v/>
      </c>
      <c r="C12" s="16" t="inlineStr">
        <is>
          <t>모든 테스트 Lane 합계</t>
        </is>
      </c>
      <c r="D12" s="17" t="str"/>
    </row>
    <row r="13" ht="15" customHeight="1" s="146">
      <c r="A13" s="66" t="inlineStr">
        <is>
          <t>1-Pass 테스트</t>
        </is>
      </c>
      <c r="B13" s="16">
        <f>C5+C7+C8</f>
        <v/>
      </c>
      <c r="C13" s="16" t="inlineStr">
        <is>
          <t>Pass/Stage + Mixed + Chemical</t>
        </is>
      </c>
      <c r="D13" s="17" t="str"/>
    </row>
    <row r="14" ht="15" customHeight="1" s="146">
      <c r="A14" s="66" t="inlineStr">
        <is>
          <t>2-Pass 테스트</t>
        </is>
      </c>
      <c r="B14" s="16">
        <f>C6+C9</f>
        <v/>
      </c>
      <c r="C14" s="16" t="inlineStr">
        <is>
          <t>2 Pass + Combined</t>
        </is>
      </c>
      <c r="D14" s="17" t="inlineStr">
        <is>
          <t>--allow-experimental-ro</t>
        </is>
      </c>
    </row>
    <row r="15" ht="15" customHeight="1" s="146">
      <c r="A15" s="66" t="inlineStr">
        <is>
          <t>Chemical 포함</t>
        </is>
      </c>
      <c r="B15" s="16">
        <f>C8+4</f>
        <v/>
      </c>
      <c r="C15" s="16" t="inlineStr">
        <is>
          <t>Chemical 시트 9개 + Combined 4개</t>
        </is>
      </c>
      <c r="D15" s="17" t="inlineStr">
        <is>
          <t>한 사례씩 실행</t>
        </is>
      </c>
    </row>
    <row r="16" ht="15" customHeight="1" s="146">
      <c r="A16" s="67" t="inlineStr">
        <is>
          <t>관측 안전 막</t>
        </is>
      </c>
      <c r="B16" s="19" t="n">
        <v>10</v>
      </c>
      <c r="C16" s="19" t="inlineStr">
        <is>
          <t>영상 드롭다운에서 제한 표기 없는 이름</t>
        </is>
      </c>
      <c r="D16" s="20" t="inlineStr">
        <is>
          <t>원수별 적합성은 별도</t>
        </is>
      </c>
    </row>
    <row r="18" ht="15" customHeight="1" s="146">
      <c r="A18" s="177" t="inlineStr">
        <is>
          <t>실행 원칙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 s="146">
      <c r="A19" s="91" t="inlineStr">
        <is>
          <t>1</t>
        </is>
      </c>
      <c r="B19" s="41" t="inlineStr">
        <is>
          <t>V25 패치 적용</t>
        </is>
      </c>
      <c r="C19" s="29" t="n"/>
      <c r="D19" s="29" t="n"/>
      <c r="E19" s="29" t="n"/>
      <c r="F19" s="29" t="n"/>
      <c r="G19" s="29" t="n"/>
      <c r="H19" s="29" t="n"/>
    </row>
    <row r="20" ht="15" customHeight="1" s="146">
      <c r="A20" s="92" t="inlineStr">
        <is>
          <t>2</t>
        </is>
      </c>
      <c r="B20" s="41" t="inlineStr">
        <is>
          <t>대상 시트 dry-run</t>
        </is>
      </c>
      <c r="C20" s="29" t="n"/>
      <c r="D20" s="29" t="n"/>
      <c r="E20" s="29" t="n"/>
      <c r="F20" s="29" t="n"/>
      <c r="G20" s="29" t="n"/>
      <c r="H20" s="29" t="n"/>
    </row>
    <row r="21" ht="15" customHeight="1" s="146">
      <c r="A21" s="92" t="inlineStr">
        <is>
          <t>3</t>
        </is>
      </c>
      <c r="B21" s="41" t="inlineStr">
        <is>
          <t>WAVE 새 빈 프로젝트 Home 화면</t>
        </is>
      </c>
      <c r="C21" s="29" t="n"/>
      <c r="D21" s="29" t="n"/>
      <c r="E21" s="29" t="n"/>
      <c r="F21" s="29" t="n"/>
      <c r="G21" s="29" t="n"/>
      <c r="H21" s="29" t="n"/>
    </row>
    <row r="22" ht="15" customHeight="1" s="146">
      <c r="A22" s="92" t="inlineStr">
        <is>
          <t>4</t>
        </is>
      </c>
      <c r="B22" s="41" t="inlineStr">
        <is>
          <t>첫 사례를 --case-id로 단독 실행</t>
        </is>
      </c>
      <c r="C22" s="29" t="n"/>
      <c r="D22" s="29" t="n"/>
      <c r="E22" s="29" t="n"/>
      <c r="F22" s="29" t="n"/>
      <c r="G22" s="29" t="n"/>
      <c r="H22" s="29" t="n"/>
    </row>
    <row r="23" ht="26.39999961853027" customHeight="1" s="146">
      <c r="A23" s="92" t="inlineStr">
        <is>
          <t>5</t>
        </is>
      </c>
      <c r="B23" s="41" t="inlineStr">
        <is>
          <t>2 Pass/Chemical/Combined에는 --allow-experimental-ro 필수</t>
        </is>
      </c>
      <c r="C23" s="29" t="n"/>
      <c r="D23" s="29" t="n"/>
      <c r="E23" s="29" t="n"/>
      <c r="F23" s="29" t="n"/>
      <c r="G23" s="29" t="n"/>
      <c r="H23" s="29" t="n"/>
    </row>
    <row r="24" ht="39.59999847412109" customHeight="1" s="146">
      <c r="A24" s="93" t="inlineStr">
        <is>
          <t>6</t>
        </is>
      </c>
      <c r="B24" s="41" t="inlineStr">
        <is>
          <t>Convergence Error는 성공이 아니며 필요할 때만 --continue-on-convergence</t>
        </is>
      </c>
      <c r="C24" s="29" t="n"/>
      <c r="D24" s="29" t="n"/>
      <c r="E24" s="29" t="n"/>
      <c r="F24" s="29" t="n"/>
      <c r="G24" s="29" t="n"/>
      <c r="H24" s="29" t="n"/>
    </row>
  </sheetData>
  <mergeCells count="8">
    <mergeCell ref="A18:H18"/>
    <mergeCell ref="B22:H22"/>
    <mergeCell ref="B21:H21"/>
    <mergeCell ref="B24:H24"/>
    <mergeCell ref="A1:H2"/>
    <mergeCell ref="B19:H19"/>
    <mergeCell ref="B20:H20"/>
    <mergeCell ref="B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9"/>
  <sheetViews>
    <sheetView workbookViewId="0">
      <selection activeCell="A1" sqref="A1"/>
    </sheetView>
  </sheetViews>
  <sheetFormatPr baseColWidth="8" defaultRowHeight="15"/>
  <cols>
    <col width="12" customWidth="1" style="146" min="1" max="1"/>
    <col width="12" customWidth="1" style="146" min="2" max="2"/>
    <col width="12" customWidth="1" style="146" min="3" max="3"/>
    <col width="17" customWidth="1" style="146" min="4" max="4"/>
    <col width="42" customWidth="1" style="146" min="5" max="5"/>
    <col width="17" customWidth="1" style="146" min="6" max="6"/>
    <col width="17" customWidth="1" style="146" min="7" max="7"/>
    <col width="17" customWidth="1" style="146" min="8" max="8"/>
    <col width="35" customWidth="1" style="146" min="9" max="9"/>
    <col width="16" customWidth="1" style="146" min="10" max="10"/>
    <col width="40" customWidth="1" style="146" min="11" max="11"/>
    <col width="30" customWidth="1" style="146" min="12" max="12"/>
    <col width="16" customWidth="1" style="146" min="13" max="13"/>
    <col width="16" customWidth="1" style="146" min="14" max="14"/>
    <col width="16" customWidth="1" style="146" min="15" max="15"/>
    <col width="16" customWidth="1" style="146" min="16" max="16"/>
    <col width="16" customWidth="1" style="146" min="17" max="17"/>
    <col width="16" customWidth="1" style="146" min="18" max="18"/>
    <col width="16" customWidth="1" style="146" min="19" max="19"/>
    <col width="16" customWidth="1" style="146" min="20" max="20"/>
    <col width="16" customWidth="1" style="146" min="21" max="21"/>
    <col width="16" customWidth="1" style="146" min="22" max="22"/>
    <col width="16" customWidth="1" style="146" min="23" max="23"/>
    <col width="16" customWidth="1" style="146" min="24" max="24"/>
    <col width="16" customWidth="1" style="146" min="25" max="25"/>
    <col width="16" customWidth="1" style="146" min="26" max="26"/>
    <col width="16" customWidth="1" style="146" min="27" max="27"/>
    <col width="16" customWidth="1" style="146" min="28" max="28"/>
    <col width="16" customWidth="1" style="146" min="29" max="29"/>
    <col width="16" customWidth="1" style="146" min="30" max="30"/>
    <col width="16" customWidth="1" style="146" min="31" max="31"/>
    <col width="16" customWidth="1" style="146" min="32" max="32"/>
    <col width="16" customWidth="1" style="146" min="33" max="33"/>
    <col width="16" customWidth="1" style="146" min="34" max="34"/>
    <col width="16" customWidth="1" style="146" min="35" max="35"/>
    <col width="16" customWidth="1" style="146" min="36" max="36"/>
    <col width="16" customWidth="1" style="146" min="37" max="37"/>
    <col width="16" customWidth="1" style="146" min="38" max="38"/>
    <col width="16" customWidth="1" style="146" min="39" max="39"/>
    <col width="16" customWidth="1" style="146" min="40" max="40"/>
    <col width="16" customWidth="1" style="146" min="41" max="41"/>
    <col width="16" customWidth="1" style="146" min="42" max="42"/>
    <col width="16" customWidth="1" style="146" min="43" max="43"/>
    <col width="16" customWidth="1" style="146" min="44" max="44"/>
    <col width="16" customWidth="1" style="146" min="45" max="45"/>
    <col width="16" customWidth="1" style="146" min="46" max="46"/>
    <col width="16" customWidth="1" style="146" min="47" max="47"/>
    <col width="16" customWidth="1" style="146" min="48" max="48"/>
    <col width="16" customWidth="1" style="146" min="49" max="49"/>
    <col width="16" customWidth="1" style="146" min="50" max="50"/>
    <col width="16" customWidth="1" style="146" min="51" max="51"/>
    <col width="16" customWidth="1" style="146" min="52" max="52"/>
    <col width="16" customWidth="1" style="146" min="53" max="53"/>
    <col width="16" customWidth="1" style="146" min="54" max="54"/>
    <col width="16" customWidth="1" style="146" min="55" max="55"/>
    <col width="16" customWidth="1" style="146" min="56" max="56"/>
    <col width="16" customWidth="1" style="146" min="57" max="57"/>
    <col width="16" customWidth="1" style="146" min="58" max="58"/>
    <col width="16" customWidth="1" style="146" min="59" max="59"/>
    <col width="16" customWidth="1" style="146" min="60" max="60"/>
    <col width="16" customWidth="1" style="146" min="61" max="61"/>
    <col width="16" customWidth="1" style="146" min="62" max="62"/>
    <col width="16" customWidth="1" style="146" min="63" max="63"/>
    <col width="16" customWidth="1" style="146" min="64" max="64"/>
    <col width="16" customWidth="1" style="146" min="65" max="65"/>
    <col width="16" customWidth="1" style="146" min="66" max="66"/>
    <col width="16" customWidth="1" style="146" min="67" max="67"/>
    <col width="16" customWidth="1" style="146" min="68" max="68"/>
    <col width="16" customWidth="1" style="146" min="69" max="69"/>
    <col width="16" customWidth="1" style="146" min="70" max="70"/>
    <col width="16" customWidth="1" style="146" min="71" max="71"/>
    <col width="16" customWidth="1" style="146" min="72" max="72"/>
    <col width="16" customWidth="1" style="146" min="73" max="73"/>
    <col width="16" customWidth="1" style="146" min="74" max="74"/>
    <col width="16" customWidth="1" style="146" min="75" max="75"/>
    <col width="16" customWidth="1" style="146" min="76" max="76"/>
    <col width="16" customWidth="1" style="146" min="77" max="77"/>
    <col width="16" customWidth="1" style="146" min="78" max="78"/>
    <col width="16" customWidth="1" style="146" min="79" max="79"/>
    <col width="16" customWidth="1" style="146" min="80" max="80"/>
    <col width="16" customWidth="1" style="146" min="81" max="81"/>
    <col width="16" customWidth="1" style="146" min="82" max="82"/>
    <col width="16" customWidth="1" style="146" min="83" max="83"/>
    <col width="16" customWidth="1" style="146" min="84" max="84"/>
    <col width="16" customWidth="1" style="146" min="85" max="85"/>
    <col width="16" customWidth="1" style="146" min="86" max="86"/>
    <col width="16" customWidth="1" style="146" min="87" max="87"/>
    <col width="16" customWidth="1" style="146" min="88" max="88"/>
    <col width="16" customWidth="1" style="146" min="89" max="89"/>
    <col width="16" customWidth="1" style="146" min="90" max="90"/>
    <col width="16" customWidth="1" style="146" min="91" max="91"/>
    <col width="16" customWidth="1" style="146" min="92" max="92"/>
    <col width="16" customWidth="1" style="146" min="93" max="93"/>
    <col width="16" customWidth="1" style="146" min="94" max="94"/>
    <col width="16" customWidth="1" style="146" min="95" max="95"/>
    <col width="16" customWidth="1" style="146" min="96" max="96"/>
    <col width="16" customWidth="1" style="146" min="97" max="97"/>
    <col width="16" customWidth="1" style="146" min="98" max="98"/>
    <col width="17" customWidth="1" style="146" min="99" max="99"/>
    <col width="28" customWidth="1" style="146" min="100" max="100"/>
    <col width="20" customWidth="1" style="146" min="101" max="101"/>
    <col width="17" customWidth="1" style="146" min="102" max="102"/>
    <col width="28" customWidth="1" style="146" min="103" max="103"/>
    <col width="20" customWidth="1" style="146" min="104" max="104"/>
    <col width="24" customWidth="1" style="146" min="105" max="105"/>
    <col width="20" customWidth="1" style="146" min="106" max="106"/>
    <col width="24" customWidth="1" style="146" min="107" max="107"/>
    <col width="20" customWidth="1" style="146" min="108" max="108"/>
    <col width="17" customWidth="1" style="146" min="109" max="109"/>
    <col width="28" customWidth="1" style="146" min="110" max="110"/>
    <col width="20" customWidth="1" style="146" min="111" max="111"/>
    <col width="17" customWidth="1" style="146" min="112" max="112"/>
    <col width="20" customWidth="1" style="146" min="113" max="113"/>
  </cols>
  <sheetData>
    <row r="1" ht="34" customHeight="1" s="146">
      <c r="A1" s="12" t="inlineStr">
        <is>
          <t>Batch_Order</t>
        </is>
      </c>
      <c r="B1" s="13" t="inlineStr">
        <is>
          <t>Batch_Group</t>
        </is>
      </c>
      <c r="C1" s="13" t="inlineStr">
        <is>
          <t>Run_Enabled</t>
        </is>
      </c>
      <c r="D1" s="13" t="inlineStr">
        <is>
          <t>Case_ID</t>
        </is>
      </c>
      <c r="E1" s="13" t="inlineStr">
        <is>
          <t>Recommended_PDF_Name</t>
        </is>
      </c>
      <c r="F1" s="13" t="inlineStr">
        <is>
          <t>Fresh_Project_Required</t>
        </is>
      </c>
      <c r="G1" s="13" t="inlineStr">
        <is>
          <t>Test_Lane</t>
        </is>
      </c>
      <c r="H1" s="13" t="inlineStr">
        <is>
          <t>Expected_Tier</t>
        </is>
      </c>
      <c r="I1" s="13" t="inlineStr">
        <is>
          <t>Test_Purpose</t>
        </is>
      </c>
      <c r="J1" s="13" t="inlineStr">
        <is>
          <t>Run_Status</t>
        </is>
      </c>
      <c r="K1" s="13" t="inlineStr">
        <is>
          <t>Notes</t>
        </is>
      </c>
      <c r="L1" s="13" t="inlineStr">
        <is>
          <t>WAVE_Library_Selection</t>
        </is>
      </c>
      <c r="M1" s="13" t="inlineStr">
        <is>
          <t>Feed_Flow_m3h</t>
        </is>
      </c>
      <c r="N1" s="13" t="inlineStr">
        <is>
          <t>Temperature_Min_C</t>
        </is>
      </c>
      <c r="O1" s="13" t="inlineStr">
        <is>
          <t>Temperature_Design_C</t>
        </is>
      </c>
      <c r="P1" s="13" t="inlineStr">
        <is>
          <t>Temperature_Max_C</t>
        </is>
      </c>
      <c r="Q1" s="13" t="inlineStr">
        <is>
          <t>Pass_Count</t>
        </is>
      </c>
      <c r="R1" s="13" t="inlineStr">
        <is>
          <t>Pass1_Recovery_pct</t>
        </is>
      </c>
      <c r="S1" s="13" t="inlineStr">
        <is>
          <t>Pass1_Temperature_Mode</t>
        </is>
      </c>
      <c r="T1" s="13" t="inlineStr">
        <is>
          <t>Pass1_Temperature_C</t>
        </is>
      </c>
      <c r="U1" s="13" t="inlineStr">
        <is>
          <t>Pass1_Flow_Factor</t>
        </is>
      </c>
      <c r="V1" s="13" t="inlineStr">
        <is>
          <t>Pass1_Permeate_Back_Pressure_bar</t>
        </is>
      </c>
      <c r="W1" s="13" t="inlineStr">
        <is>
          <t>Pass1_Stage_Count</t>
        </is>
      </c>
      <c r="X1" s="13" t="inlineStr">
        <is>
          <t>P1S1_PV</t>
        </is>
      </c>
      <c r="Y1" s="13" t="inlineStr">
        <is>
          <t>P1S1_Elements_per_PV</t>
        </is>
      </c>
      <c r="Z1" s="13" t="inlineStr">
        <is>
          <t>P1S1_Membrane</t>
        </is>
      </c>
      <c r="AA1" s="13" t="inlineStr">
        <is>
          <t>P1S1_Stage_Back_Pressure_bar</t>
        </is>
      </c>
      <c r="AB1" s="13" t="inlineStr">
        <is>
          <t>P1S1_Boost_Pressure_bar</t>
        </is>
      </c>
      <c r="AC1" s="13" t="inlineStr">
        <is>
          <t>P1S1_Flow_Factor</t>
        </is>
      </c>
      <c r="AD1" s="13" t="inlineStr">
        <is>
          <t>P1S2_PV</t>
        </is>
      </c>
      <c r="AE1" s="13" t="inlineStr">
        <is>
          <t>P1S2_Elements_per_PV</t>
        </is>
      </c>
      <c r="AF1" s="13" t="inlineStr">
        <is>
          <t>P1S2_Membrane</t>
        </is>
      </c>
      <c r="AG1" s="13" t="inlineStr">
        <is>
          <t>P1S2_Stage_Back_Pressure_bar</t>
        </is>
      </c>
      <c r="AH1" s="13" t="inlineStr">
        <is>
          <t>P1S2_Boost_Pressure_bar</t>
        </is>
      </c>
      <c r="AI1" s="13" t="inlineStr">
        <is>
          <t>P1S2_Flow_Factor</t>
        </is>
      </c>
      <c r="AJ1" s="13" t="inlineStr">
        <is>
          <t>P1S3_PV</t>
        </is>
      </c>
      <c r="AK1" s="13" t="inlineStr">
        <is>
          <t>P1S3_Elements_per_PV</t>
        </is>
      </c>
      <c r="AL1" s="13" t="inlineStr">
        <is>
          <t>P1S3_Membrane</t>
        </is>
      </c>
      <c r="AM1" s="13" t="inlineStr">
        <is>
          <t>P1S3_Stage_Back_Pressure_bar</t>
        </is>
      </c>
      <c r="AN1" s="13" t="inlineStr">
        <is>
          <t>P1S3_Boost_Pressure_bar</t>
        </is>
      </c>
      <c r="AO1" s="13" t="inlineStr">
        <is>
          <t>P1S3_Flow_Factor</t>
        </is>
      </c>
      <c r="AP1" s="13" t="inlineStr">
        <is>
          <t>P1S4_PV</t>
        </is>
      </c>
      <c r="AQ1" s="13" t="inlineStr">
        <is>
          <t>P1S4_Elements_per_PV</t>
        </is>
      </c>
      <c r="AR1" s="13" t="inlineStr">
        <is>
          <t>P1S4_Membrane</t>
        </is>
      </c>
      <c r="AS1" s="13" t="inlineStr">
        <is>
          <t>P1S4_Stage_Back_Pressure_bar</t>
        </is>
      </c>
      <c r="AT1" s="13" t="inlineStr">
        <is>
          <t>P1S4_Boost_Pressure_bar</t>
        </is>
      </c>
      <c r="AU1" s="13" t="inlineStr">
        <is>
          <t>P1S4_Flow_Factor</t>
        </is>
      </c>
      <c r="AV1" s="13" t="inlineStr">
        <is>
          <t>P1S5_PV</t>
        </is>
      </c>
      <c r="AW1" s="13" t="inlineStr">
        <is>
          <t>P1S5_Elements_per_PV</t>
        </is>
      </c>
      <c r="AX1" s="13" t="inlineStr">
        <is>
          <t>P1S5_Membrane</t>
        </is>
      </c>
      <c r="AY1" s="13" t="inlineStr">
        <is>
          <t>P1S5_Stage_Back_Pressure_bar</t>
        </is>
      </c>
      <c r="AZ1" s="13" t="inlineStr">
        <is>
          <t>P1S5_Boost_Pressure_bar</t>
        </is>
      </c>
      <c r="BA1" s="13" t="inlineStr">
        <is>
          <t>P1S5_Flow_Factor</t>
        </is>
      </c>
      <c r="BB1" s="13" t="inlineStr">
        <is>
          <t>Pass2_Recovery_pct</t>
        </is>
      </c>
      <c r="BC1" s="13" t="inlineStr">
        <is>
          <t>Pass2_Temperature_Mode</t>
        </is>
      </c>
      <c r="BD1" s="13" t="inlineStr">
        <is>
          <t>Pass2_Temperature_C</t>
        </is>
      </c>
      <c r="BE1" s="13" t="inlineStr">
        <is>
          <t>Pass2_Flow_Factor</t>
        </is>
      </c>
      <c r="BF1" s="13" t="inlineStr">
        <is>
          <t>Pass2_Permeate_Back_Pressure_bar</t>
        </is>
      </c>
      <c r="BG1" s="13" t="inlineStr">
        <is>
          <t>Pass2_Stage_Count</t>
        </is>
      </c>
      <c r="BH1" s="13" t="inlineStr">
        <is>
          <t>P2S1_PV</t>
        </is>
      </c>
      <c r="BI1" s="13" t="inlineStr">
        <is>
          <t>P2S1_Elements_per_PV</t>
        </is>
      </c>
      <c r="BJ1" s="13" t="inlineStr">
        <is>
          <t>P2S1_Membrane</t>
        </is>
      </c>
      <c r="BK1" s="13" t="inlineStr">
        <is>
          <t>P2S1_Stage_Back_Pressure_bar</t>
        </is>
      </c>
      <c r="BL1" s="13" t="inlineStr">
        <is>
          <t>P2S1_Boost_Pressure_bar</t>
        </is>
      </c>
      <c r="BM1" s="13" t="inlineStr">
        <is>
          <t>P2S1_Flow_Factor</t>
        </is>
      </c>
      <c r="BN1" s="13" t="inlineStr">
        <is>
          <t>P2S2_PV</t>
        </is>
      </c>
      <c r="BO1" s="13" t="inlineStr">
        <is>
          <t>P2S2_Elements_per_PV</t>
        </is>
      </c>
      <c r="BP1" s="13" t="inlineStr">
        <is>
          <t>P2S2_Membrane</t>
        </is>
      </c>
      <c r="BQ1" s="13" t="inlineStr">
        <is>
          <t>P2S2_Stage_Back_Pressure_bar</t>
        </is>
      </c>
      <c r="BR1" s="13" t="inlineStr">
        <is>
          <t>P2S2_Boost_Pressure_bar</t>
        </is>
      </c>
      <c r="BS1" s="13" t="inlineStr">
        <is>
          <t>P2S2_Flow_Factor</t>
        </is>
      </c>
      <c r="BT1" s="13" t="inlineStr">
        <is>
          <t>P2S3_PV</t>
        </is>
      </c>
      <c r="BU1" s="13" t="inlineStr">
        <is>
          <t>P2S3_Elements_per_PV</t>
        </is>
      </c>
      <c r="BV1" s="13" t="inlineStr">
        <is>
          <t>P2S3_Membrane</t>
        </is>
      </c>
      <c r="BW1" s="13" t="inlineStr">
        <is>
          <t>P2S3_Stage_Back_Pressure_bar</t>
        </is>
      </c>
      <c r="BX1" s="13" t="inlineStr">
        <is>
          <t>P2S3_Boost_Pressure_bar</t>
        </is>
      </c>
      <c r="BY1" s="13" t="inlineStr">
        <is>
          <t>P2S3_Flow_Factor</t>
        </is>
      </c>
      <c r="BZ1" s="13" t="inlineStr">
        <is>
          <t>P2S4_PV</t>
        </is>
      </c>
      <c r="CA1" s="13" t="inlineStr">
        <is>
          <t>P2S4_Elements_per_PV</t>
        </is>
      </c>
      <c r="CB1" s="13" t="inlineStr">
        <is>
          <t>P2S4_Membrane</t>
        </is>
      </c>
      <c r="CC1" s="13" t="inlineStr">
        <is>
          <t>P2S4_Stage_Back_Pressure_bar</t>
        </is>
      </c>
      <c r="CD1" s="13" t="inlineStr">
        <is>
          <t>P2S4_Boost_Pressure_bar</t>
        </is>
      </c>
      <c r="CE1" s="13" t="inlineStr">
        <is>
          <t>P2S4_Flow_Factor</t>
        </is>
      </c>
      <c r="CF1" s="13" t="inlineStr">
        <is>
          <t>P2S5_PV</t>
        </is>
      </c>
      <c r="CG1" s="13" t="inlineStr">
        <is>
          <t>P2S5_Elements_per_PV</t>
        </is>
      </c>
      <c r="CH1" s="13" t="inlineStr">
        <is>
          <t>P2S5_Membrane</t>
        </is>
      </c>
      <c r="CI1" s="13" t="inlineStr">
        <is>
          <t>P2S5_Stage_Back_Pressure_bar</t>
        </is>
      </c>
      <c r="CJ1" s="13" t="inlineStr">
        <is>
          <t>P2S5_Boost_Pressure_bar</t>
        </is>
      </c>
      <c r="CK1" s="13" t="inlineStr">
        <is>
          <t>P2S5_Flow_Factor</t>
        </is>
      </c>
      <c r="CL1" s="13" t="inlineStr">
        <is>
          <t>Acid_Enabled</t>
        </is>
      </c>
      <c r="CM1" s="13" t="inlineStr">
        <is>
          <t>Acid_Type</t>
        </is>
      </c>
      <c r="CN1" s="13" t="inlineStr">
        <is>
          <t>Acid_Target_pH</t>
        </is>
      </c>
      <c r="CO1" s="13" t="inlineStr">
        <is>
          <t>Degas_Enabled</t>
        </is>
      </c>
      <c r="CP1" s="13" t="inlineStr">
        <is>
          <t>Degas_Mode</t>
        </is>
      </c>
      <c r="CQ1" s="13" t="inlineStr">
        <is>
          <t>Degas_Value</t>
        </is>
      </c>
      <c r="CR1" s="13" t="inlineStr">
        <is>
          <t>Base_Enabled</t>
        </is>
      </c>
      <c r="CS1" s="13" t="inlineStr">
        <is>
          <t>Base_Type</t>
        </is>
      </c>
      <c r="CT1" s="14" t="inlineStr">
        <is>
          <t>Base_Target_pH</t>
        </is>
      </c>
      <c r="CU1" s="160" t="inlineStr">
        <is>
          <t>Antiscalant_Enabled</t>
        </is>
      </c>
      <c r="CV1" s="160" t="inlineStr">
        <is>
          <t>Antiscalant_Type</t>
        </is>
      </c>
      <c r="CW1" s="160" t="inlineStr">
        <is>
          <t>Antiscalant_Dose_mgL</t>
        </is>
      </c>
      <c r="CX1" s="160" t="inlineStr">
        <is>
          <t>Dechlorinator_Enabled</t>
        </is>
      </c>
      <c r="CY1" s="160" t="inlineStr">
        <is>
          <t>Dechlorinator_Type</t>
        </is>
      </c>
      <c r="CZ1" s="160" t="inlineStr">
        <is>
          <t>Dechlorinator_Dose_mgL</t>
        </is>
      </c>
      <c r="DA1" s="160" t="inlineStr">
        <is>
          <t>Chemical_Temperature_Mode</t>
        </is>
      </c>
      <c r="DB1" s="160" t="inlineStr">
        <is>
          <t>Chemical_Temperature_C</t>
        </is>
      </c>
      <c r="DC1" s="160" t="inlineStr">
        <is>
          <t>Chemical_Recovery_Mode</t>
        </is>
      </c>
      <c r="DD1" s="160" t="inlineStr">
        <is>
          <t>Chemical_Recovery_pct</t>
        </is>
      </c>
      <c r="DE1" s="160" t="inlineStr">
        <is>
          <t>Compaction_Enabled</t>
        </is>
      </c>
      <c r="DF1" s="160" t="inlineStr">
        <is>
          <t>Compaction_Mode</t>
        </is>
      </c>
      <c r="DG1" s="160" t="inlineStr">
        <is>
          <t>Compaction_Value</t>
        </is>
      </c>
      <c r="DH1" s="160" t="inlineStr">
        <is>
          <t>RO_TOC_Rejection_Enabled</t>
        </is>
      </c>
      <c r="DI1" s="160" t="inlineStr">
        <is>
          <t>RO_TOC_Rejection_pct</t>
        </is>
      </c>
    </row>
    <row r="2" ht="15" customHeight="1" s="146">
      <c r="A2" s="42" t="n">
        <v>1</v>
      </c>
      <c r="B2" s="43" t="inlineStr">
        <is>
          <t>PASS_STAGE</t>
        </is>
      </c>
      <c r="C2" s="43" t="inlineStr">
        <is>
          <t>Y</t>
        </is>
      </c>
      <c r="D2" s="43" t="inlineStr">
        <is>
          <t>V25_PS_001</t>
        </is>
      </c>
      <c r="E2" s="43" t="inlineStr">
        <is>
          <t>V25_PS_001_2Stage_Design.pdf</t>
        </is>
      </c>
      <c r="F2" s="43" t="inlineStr">
        <is>
          <t>Y</t>
        </is>
      </c>
      <c r="G2" s="43" t="inlineStr">
        <is>
          <t>1P topology</t>
        </is>
      </c>
      <c r="H2" s="43" t="inlineStr">
        <is>
          <t>new</t>
        </is>
      </c>
      <c r="I2" s="43" t="inlineStr">
        <is>
          <t>2 Stage baseline after V24</t>
        </is>
      </c>
      <c r="J2" s="43" t="inlineStr">
        <is>
          <t>Not Started</t>
        </is>
      </c>
      <c r="K2" s="43" t="str"/>
      <c r="L2" s="43" t="inlineStr">
        <is>
          <t>Well Water - Med Hardness</t>
        </is>
      </c>
      <c r="M2" s="43" t="n">
        <v>100</v>
      </c>
      <c r="N2" s="43" t="n">
        <v>10</v>
      </c>
      <c r="O2" s="43" t="n">
        <v>25</v>
      </c>
      <c r="P2" s="43" t="n">
        <v>35</v>
      </c>
      <c r="Q2" s="43" t="n">
        <v>1</v>
      </c>
      <c r="R2" s="43" t="n">
        <v>75</v>
      </c>
      <c r="S2" s="43" t="inlineStr">
        <is>
          <t>Design</t>
        </is>
      </c>
      <c r="T2" s="43" t="n">
        <v>25</v>
      </c>
      <c r="U2" s="43" t="n">
        <v>0.85</v>
      </c>
      <c r="V2" s="43" t="n">
        <v>0</v>
      </c>
      <c r="W2" s="43" t="n">
        <v>2</v>
      </c>
      <c r="X2" s="43" t="n">
        <v>7</v>
      </c>
      <c r="Y2" s="43" t="n">
        <v>6</v>
      </c>
      <c r="Z2" s="43" t="inlineStr">
        <is>
          <t>BW30-400</t>
        </is>
      </c>
      <c r="AA2" s="43" t="n"/>
      <c r="AB2" s="43" t="n"/>
      <c r="AC2" s="43" t="n"/>
      <c r="AD2" s="43" t="n">
        <v>3</v>
      </c>
      <c r="AE2" s="43" t="n">
        <v>6</v>
      </c>
      <c r="AF2" s="43" t="inlineStr">
        <is>
          <t>BW30-400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/>
      <c r="BC2" s="43" t="n"/>
      <c r="BD2" s="43" t="n"/>
      <c r="BE2" s="43" t="n"/>
      <c r="BF2" s="43" t="n"/>
      <c r="BG2" s="43" t="n"/>
      <c r="BH2" s="43" t="n"/>
      <c r="BI2" s="43" t="n"/>
      <c r="BJ2" s="43" t="n"/>
      <c r="BK2" s="43" t="n"/>
      <c r="BL2" s="43" t="n"/>
      <c r="BM2" s="43" t="n"/>
      <c r="BN2" s="43" t="n"/>
      <c r="BO2" s="43" t="n"/>
      <c r="BP2" s="43" t="n"/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  <c r="CO2" s="43" t="n"/>
      <c r="CP2" s="43" t="n"/>
      <c r="CQ2" s="43" t="n"/>
      <c r="CR2" s="43" t="n"/>
      <c r="CS2" s="43" t="n"/>
      <c r="CT2" s="44" t="n"/>
    </row>
    <row r="3" ht="15" customHeight="1" s="146">
      <c r="A3" s="42" t="n">
        <v>2</v>
      </c>
      <c r="B3" s="43" t="inlineStr">
        <is>
          <t>PASS_STAGE</t>
        </is>
      </c>
      <c r="C3" s="43" t="inlineStr">
        <is>
          <t>Y</t>
        </is>
      </c>
      <c r="D3" s="43" t="inlineStr">
        <is>
          <t>V25_PS_002</t>
        </is>
      </c>
      <c r="E3" s="43" t="inlineStr">
        <is>
          <t>V25_PS_002_3Stage_Specify.pdf</t>
        </is>
      </c>
      <c r="F3" s="43" t="inlineStr">
        <is>
          <t>Y</t>
        </is>
      </c>
      <c r="G3" s="43" t="inlineStr">
        <is>
          <t>1P topology</t>
        </is>
      </c>
      <c r="H3" s="43" t="inlineStr">
        <is>
          <t>new</t>
        </is>
      </c>
      <c r="I3" s="43" t="inlineStr">
        <is>
          <t>3 Stage verified baseline</t>
        </is>
      </c>
      <c r="J3" s="43" t="inlineStr">
        <is>
          <t>Not Started</t>
        </is>
      </c>
      <c r="K3" s="43" t="str"/>
      <c r="L3" s="43" t="inlineStr">
        <is>
          <t>Well Water - Med Hardness</t>
        </is>
      </c>
      <c r="M3" s="43" t="n">
        <v>100</v>
      </c>
      <c r="N3" s="43" t="n">
        <v>10</v>
      </c>
      <c r="O3" s="43" t="n">
        <v>25</v>
      </c>
      <c r="P3" s="43" t="n">
        <v>35</v>
      </c>
      <c r="Q3" s="43" t="n">
        <v>1</v>
      </c>
      <c r="R3" s="43" t="n">
        <v>75</v>
      </c>
      <c r="S3" s="43" t="inlineStr">
        <is>
          <t>Specify</t>
        </is>
      </c>
      <c r="T3" s="43" t="n">
        <v>25</v>
      </c>
      <c r="U3" s="43" t="n">
        <v>0.85</v>
      </c>
      <c r="V3" s="43" t="n">
        <v>0</v>
      </c>
      <c r="W3" s="43" t="n">
        <v>3</v>
      </c>
      <c r="X3" s="43" t="n">
        <v>6</v>
      </c>
      <c r="Y3" s="43" t="n">
        <v>6</v>
      </c>
      <c r="Z3" s="43" t="inlineStr">
        <is>
          <t>BW30-400</t>
        </is>
      </c>
      <c r="AA3" s="43" t="n"/>
      <c r="AB3" s="43" t="n"/>
      <c r="AC3" s="43" t="n"/>
      <c r="AD3" s="43" t="n">
        <v>3</v>
      </c>
      <c r="AE3" s="43" t="n">
        <v>6</v>
      </c>
      <c r="AF3" s="43" t="inlineStr">
        <is>
          <t>BW30-400</t>
        </is>
      </c>
      <c r="AG3" s="43" t="n"/>
      <c r="AH3" s="43" t="n"/>
      <c r="AI3" s="43" t="n"/>
      <c r="AJ3" s="43" t="n">
        <v>1</v>
      </c>
      <c r="AK3" s="43" t="n">
        <v>6</v>
      </c>
      <c r="AL3" s="43" t="inlineStr">
        <is>
          <t>BW30-400</t>
        </is>
      </c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4" t="n"/>
    </row>
    <row r="4" ht="15" customHeight="1" s="146">
      <c r="A4" s="42" t="n">
        <v>3</v>
      </c>
      <c r="B4" s="43" t="inlineStr">
        <is>
          <t>PASS_STAGE</t>
        </is>
      </c>
      <c r="C4" s="43" t="inlineStr">
        <is>
          <t>Y</t>
        </is>
      </c>
      <c r="D4" s="43" t="inlineStr">
        <is>
          <t>V25_PS_003</t>
        </is>
      </c>
      <c r="E4" s="43" t="inlineStr">
        <is>
          <t>V25_PS_003_4Stage_Minimum.pdf</t>
        </is>
      </c>
      <c r="F4" s="43" t="inlineStr">
        <is>
          <t>Y</t>
        </is>
      </c>
      <c r="G4" s="43" t="inlineStr">
        <is>
          <t>1P topology</t>
        </is>
      </c>
      <c r="H4" s="43" t="inlineStr">
        <is>
          <t>new</t>
        </is>
      </c>
      <c r="I4" s="43" t="inlineStr">
        <is>
          <t>4 Stage + Minimum temperature</t>
        </is>
      </c>
      <c r="J4" s="43" t="inlineStr">
        <is>
          <t>Not Started</t>
        </is>
      </c>
      <c r="K4" s="43" t="str"/>
      <c r="L4" s="43" t="inlineStr">
        <is>
          <t>Well Water - Med Hardness</t>
        </is>
      </c>
      <c r="M4" s="43" t="n">
        <v>90</v>
      </c>
      <c r="N4" s="43" t="n">
        <v>10</v>
      </c>
      <c r="O4" s="43" t="n">
        <v>25</v>
      </c>
      <c r="P4" s="43" t="n">
        <v>35</v>
      </c>
      <c r="Q4" s="43" t="n">
        <v>1</v>
      </c>
      <c r="R4" s="43" t="n">
        <v>70</v>
      </c>
      <c r="S4" s="43" t="inlineStr">
        <is>
          <t>Minimum</t>
        </is>
      </c>
      <c r="T4" s="43" t="n">
        <v>10</v>
      </c>
      <c r="U4" s="43" t="n">
        <v>0.82</v>
      </c>
      <c r="V4" s="43" t="n">
        <v>0</v>
      </c>
      <c r="W4" s="43" t="n">
        <v>4</v>
      </c>
      <c r="X4" s="43" t="n">
        <v>6</v>
      </c>
      <c r="Y4" s="43" t="n">
        <v>6</v>
      </c>
      <c r="Z4" s="43" t="inlineStr">
        <is>
          <t>BW30-400</t>
        </is>
      </c>
      <c r="AA4" s="43" t="n"/>
      <c r="AB4" s="43" t="n"/>
      <c r="AC4" s="43" t="n">
        <v>0.85</v>
      </c>
      <c r="AD4" s="43" t="n">
        <v>3</v>
      </c>
      <c r="AE4" s="43" t="n">
        <v>6</v>
      </c>
      <c r="AF4" s="43" t="inlineStr">
        <is>
          <t>BW30-400</t>
        </is>
      </c>
      <c r="AG4" s="43" t="n"/>
      <c r="AH4" s="43" t="n"/>
      <c r="AI4" s="43" t="n">
        <v>0.85</v>
      </c>
      <c r="AJ4" s="43" t="n">
        <v>2</v>
      </c>
      <c r="AK4" s="43" t="n">
        <v>5</v>
      </c>
      <c r="AL4" s="43" t="inlineStr">
        <is>
          <t>BW30-400</t>
        </is>
      </c>
      <c r="AM4" s="43" t="n"/>
      <c r="AN4" s="43" t="n"/>
      <c r="AO4" s="43" t="n">
        <v>0.9</v>
      </c>
      <c r="AP4" s="43" t="n">
        <v>1</v>
      </c>
      <c r="AQ4" s="43" t="n">
        <v>4</v>
      </c>
      <c r="AR4" s="43" t="inlineStr">
        <is>
          <t>BW30-400</t>
        </is>
      </c>
      <c r="AS4" s="43" t="n"/>
      <c r="AT4" s="43" t="n"/>
      <c r="AU4" s="43" t="n">
        <v>0.95</v>
      </c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4" t="n"/>
    </row>
    <row r="5" ht="15" customHeight="1" s="146">
      <c r="A5" s="42" t="n">
        <v>4</v>
      </c>
      <c r="B5" s="43" t="inlineStr">
        <is>
          <t>PASS_STAGE</t>
        </is>
      </c>
      <c r="C5" s="43" t="inlineStr">
        <is>
          <t>Y</t>
        </is>
      </c>
      <c r="D5" s="43" t="inlineStr">
        <is>
          <t>V25_PS_004</t>
        </is>
      </c>
      <c r="E5" s="43" t="inlineStr">
        <is>
          <t>V25_PS_004_5Stage_Maximum.pdf</t>
        </is>
      </c>
      <c r="F5" s="43" t="inlineStr">
        <is>
          <t>Y</t>
        </is>
      </c>
      <c r="G5" s="43" t="inlineStr">
        <is>
          <t>1P topology</t>
        </is>
      </c>
      <c r="H5" s="43" t="inlineStr">
        <is>
          <t>new</t>
        </is>
      </c>
      <c r="I5" s="43" t="inlineStr">
        <is>
          <t>5 Stage + Maximum temperature</t>
        </is>
      </c>
      <c r="J5" s="43" t="inlineStr">
        <is>
          <t>Not Started</t>
        </is>
      </c>
      <c r="K5" s="43" t="str"/>
      <c r="L5" s="43" t="inlineStr">
        <is>
          <t>Well Water - Med Hardness</t>
        </is>
      </c>
      <c r="M5" s="43" t="n">
        <v>110</v>
      </c>
      <c r="N5" s="43" t="n">
        <v>10</v>
      </c>
      <c r="O5" s="43" t="n">
        <v>25</v>
      </c>
      <c r="P5" s="43" t="n">
        <v>35</v>
      </c>
      <c r="Q5" s="43" t="n">
        <v>1</v>
      </c>
      <c r="R5" s="43" t="n">
        <v>76</v>
      </c>
      <c r="S5" s="43" t="inlineStr">
        <is>
          <t>Maximum</t>
        </is>
      </c>
      <c r="T5" s="43" t="n">
        <v>35</v>
      </c>
      <c r="U5" s="43" t="n">
        <v>0.9</v>
      </c>
      <c r="V5" s="43" t="n">
        <v>0</v>
      </c>
      <c r="W5" s="43" t="n">
        <v>5</v>
      </c>
      <c r="X5" s="43" t="n">
        <v>8</v>
      </c>
      <c r="Y5" s="43" t="n">
        <v>6</v>
      </c>
      <c r="Z5" s="43" t="inlineStr">
        <is>
          <t>BW30-400</t>
        </is>
      </c>
      <c r="AA5" s="43" t="n"/>
      <c r="AB5" s="43" t="n"/>
      <c r="AC5" s="43" t="n"/>
      <c r="AD5" s="43" t="n">
        <v>4</v>
      </c>
      <c r="AE5" s="43" t="n">
        <v>6</v>
      </c>
      <c r="AF5" s="43" t="inlineStr">
        <is>
          <t>BW30-400</t>
        </is>
      </c>
      <c r="AG5" s="43" t="n">
        <v>0.2</v>
      </c>
      <c r="AH5" s="43" t="n"/>
      <c r="AI5" s="43" t="n"/>
      <c r="AJ5" s="43" t="n">
        <v>3</v>
      </c>
      <c r="AK5" s="43" t="n">
        <v>5</v>
      </c>
      <c r="AL5" s="43" t="inlineStr">
        <is>
          <t>BW30-400</t>
        </is>
      </c>
      <c r="AM5" s="43" t="n"/>
      <c r="AN5" s="43" t="n"/>
      <c r="AO5" s="43" t="n"/>
      <c r="AP5" s="43" t="n">
        <v>2</v>
      </c>
      <c r="AQ5" s="43" t="n">
        <v>5</v>
      </c>
      <c r="AR5" s="43" t="inlineStr">
        <is>
          <t>BW30-400</t>
        </is>
      </c>
      <c r="AS5" s="43" t="n">
        <v>0.4</v>
      </c>
      <c r="AT5" s="43" t="n"/>
      <c r="AU5" s="43" t="n"/>
      <c r="AV5" s="43" t="n">
        <v>1</v>
      </c>
      <c r="AW5" s="43" t="n">
        <v>4</v>
      </c>
      <c r="AX5" s="43" t="inlineStr">
        <is>
          <t>BW30-400</t>
        </is>
      </c>
      <c r="AY5" s="43" t="n"/>
      <c r="AZ5" s="43" t="n"/>
      <c r="BA5" s="43" t="n"/>
      <c r="BB5" s="43" t="n"/>
      <c r="BC5" s="43" t="n"/>
      <c r="BD5" s="43" t="n"/>
      <c r="BE5" s="43" t="n"/>
      <c r="BF5" s="43" t="n"/>
      <c r="BG5" s="43" t="n"/>
      <c r="BH5" s="43" t="n"/>
      <c r="BI5" s="43" t="n"/>
      <c r="BJ5" s="43" t="n"/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n"/>
      <c r="CP5" s="43" t="n"/>
      <c r="CQ5" s="43" t="n"/>
      <c r="CR5" s="43" t="n"/>
      <c r="CS5" s="43" t="n"/>
      <c r="CT5" s="44" t="n"/>
    </row>
    <row r="6" ht="15" customHeight="1" s="146">
      <c r="A6" s="42" t="n">
        <v>5</v>
      </c>
      <c r="B6" s="43" t="inlineStr">
        <is>
          <t>PASS_STAGE</t>
        </is>
      </c>
      <c r="C6" s="43" t="inlineStr">
        <is>
          <t>Y</t>
        </is>
      </c>
      <c r="D6" s="43" t="inlineStr">
        <is>
          <t>V25_PS_005</t>
        </is>
      </c>
      <c r="E6" s="43" t="inlineStr">
        <is>
          <t>V25_PS_005_PassBackPressure.pdf</t>
        </is>
      </c>
      <c r="F6" s="43" t="inlineStr">
        <is>
          <t>Y</t>
        </is>
      </c>
      <c r="G6" s="43" t="inlineStr">
        <is>
          <t>pass controls</t>
        </is>
      </c>
      <c r="H6" s="43" t="inlineStr">
        <is>
          <t>new</t>
        </is>
      </c>
      <c r="I6" s="43" t="inlineStr">
        <is>
          <t>Pass permeate back pressure 0.5 bar</t>
        </is>
      </c>
      <c r="J6" s="43" t="inlineStr">
        <is>
          <t>Not Started</t>
        </is>
      </c>
      <c r="K6" s="43" t="str"/>
      <c r="L6" s="43" t="inlineStr">
        <is>
          <t>Well Water - High Hardness</t>
        </is>
      </c>
      <c r="M6" s="43" t="n">
        <v>100</v>
      </c>
      <c r="N6" s="43" t="n">
        <v>15</v>
      </c>
      <c r="O6" s="43" t="n">
        <v>25</v>
      </c>
      <c r="P6" s="43" t="n">
        <v>35</v>
      </c>
      <c r="Q6" s="43" t="n">
        <v>1</v>
      </c>
      <c r="R6" s="43" t="n">
        <v>70</v>
      </c>
      <c r="S6" s="43" t="inlineStr">
        <is>
          <t>Specify</t>
        </is>
      </c>
      <c r="T6" s="43" t="n">
        <v>25</v>
      </c>
      <c r="U6" s="43" t="n">
        <v>0.85</v>
      </c>
      <c r="V6" s="43" t="n">
        <v>0.5</v>
      </c>
      <c r="W6" s="43" t="n">
        <v>2</v>
      </c>
      <c r="X6" s="43" t="n">
        <v>7</v>
      </c>
      <c r="Y6" s="43" t="n">
        <v>6</v>
      </c>
      <c r="Z6" s="43" t="inlineStr">
        <is>
          <t>BW30-400</t>
        </is>
      </c>
      <c r="AA6" s="43" t="n"/>
      <c r="AB6" s="43" t="n"/>
      <c r="AC6" s="43" t="n"/>
      <c r="AD6" s="43" t="n">
        <v>3</v>
      </c>
      <c r="AE6" s="43" t="n">
        <v>6</v>
      </c>
      <c r="AF6" s="43" t="inlineStr">
        <is>
          <t>BW30-400</t>
        </is>
      </c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3" t="n"/>
      <c r="BL6" s="43" t="n"/>
      <c r="BM6" s="43" t="n"/>
      <c r="BN6" s="43" t="n"/>
      <c r="BO6" s="43" t="n"/>
      <c r="BP6" s="43" t="n"/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n"/>
      <c r="CP6" s="43" t="n"/>
      <c r="CQ6" s="43" t="n"/>
      <c r="CR6" s="43" t="n"/>
      <c r="CS6" s="43" t="n"/>
      <c r="CT6" s="44" t="n"/>
    </row>
    <row r="7" ht="15" customHeight="1" s="146">
      <c r="A7" s="42" t="n">
        <v>6</v>
      </c>
      <c r="B7" s="43" t="inlineStr">
        <is>
          <t>PASS_STAGE</t>
        </is>
      </c>
      <c r="C7" s="43" t="inlineStr">
        <is>
          <t>Y</t>
        </is>
      </c>
      <c r="D7" s="43" t="inlineStr">
        <is>
          <t>V25_PS_006</t>
        </is>
      </c>
      <c r="E7" s="43" t="inlineStr">
        <is>
          <t>V25_PS_006_StageBackPressure.pdf</t>
        </is>
      </c>
      <c r="F7" s="43" t="inlineStr">
        <is>
          <t>Y</t>
        </is>
      </c>
      <c r="G7" s="43" t="inlineStr">
        <is>
          <t>stage controls</t>
        </is>
      </c>
      <c r="H7" s="43" t="inlineStr">
        <is>
          <t>new</t>
        </is>
      </c>
      <c r="I7" s="43" t="inlineStr">
        <is>
          <t>Stage-specific back pressure</t>
        </is>
      </c>
      <c r="J7" s="43" t="inlineStr">
        <is>
          <t>Not Started</t>
        </is>
      </c>
      <c r="K7" s="43" t="str"/>
      <c r="L7" s="43" t="inlineStr">
        <is>
          <t>Well Water - High Hardness</t>
        </is>
      </c>
      <c r="M7" s="43" t="n">
        <v>100</v>
      </c>
      <c r="N7" s="43" t="n">
        <v>15</v>
      </c>
      <c r="O7" s="43" t="n">
        <v>25</v>
      </c>
      <c r="P7" s="43" t="n">
        <v>35</v>
      </c>
      <c r="Q7" s="43" t="n">
        <v>1</v>
      </c>
      <c r="R7" s="43" t="n">
        <v>70</v>
      </c>
      <c r="S7" s="43" t="inlineStr">
        <is>
          <t>Specify</t>
        </is>
      </c>
      <c r="T7" s="43" t="n">
        <v>25</v>
      </c>
      <c r="U7" s="43" t="n">
        <v>0.85</v>
      </c>
      <c r="V7" s="43" t="n">
        <v>0</v>
      </c>
      <c r="W7" s="43" t="n">
        <v>2</v>
      </c>
      <c r="X7" s="43" t="n">
        <v>7</v>
      </c>
      <c r="Y7" s="43" t="n">
        <v>6</v>
      </c>
      <c r="Z7" s="43" t="inlineStr">
        <is>
          <t>BW30-400</t>
        </is>
      </c>
      <c r="AA7" s="43" t="n">
        <v>0.1</v>
      </c>
      <c r="AB7" s="43" t="n"/>
      <c r="AC7" s="43" t="n"/>
      <c r="AD7" s="43" t="n">
        <v>3</v>
      </c>
      <c r="AE7" s="43" t="n">
        <v>6</v>
      </c>
      <c r="AF7" s="43" t="inlineStr">
        <is>
          <t>BW30-400</t>
        </is>
      </c>
      <c r="AG7" s="43" t="n">
        <v>0.35</v>
      </c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43" t="n"/>
      <c r="BW7" s="43" t="n"/>
      <c r="BX7" s="43" t="n"/>
      <c r="BY7" s="43" t="n"/>
      <c r="BZ7" s="43" t="n"/>
      <c r="CA7" s="43" t="n"/>
      <c r="CB7" s="43" t="n"/>
      <c r="CC7" s="43" t="n"/>
      <c r="CD7" s="43" t="n"/>
      <c r="CE7" s="43" t="n"/>
      <c r="CF7" s="43" t="n"/>
      <c r="CG7" s="43" t="n"/>
      <c r="CH7" s="43" t="n"/>
      <c r="CI7" s="43" t="n"/>
      <c r="CJ7" s="43" t="n"/>
      <c r="CK7" s="43" t="n"/>
      <c r="CL7" s="43" t="n"/>
      <c r="CM7" s="43" t="n"/>
      <c r="CN7" s="43" t="n"/>
      <c r="CO7" s="43" t="n"/>
      <c r="CP7" s="43" t="n"/>
      <c r="CQ7" s="43" t="n"/>
      <c r="CR7" s="43" t="n"/>
      <c r="CS7" s="43" t="n"/>
      <c r="CT7" s="44" t="n"/>
    </row>
    <row r="8" ht="15" customHeight="1" s="146">
      <c r="A8" s="42" t="n">
        <v>7</v>
      </c>
      <c r="B8" s="43" t="inlineStr">
        <is>
          <t>PASS_STAGE</t>
        </is>
      </c>
      <c r="C8" s="43" t="inlineStr">
        <is>
          <t>Y</t>
        </is>
      </c>
      <c r="D8" s="43" t="inlineStr">
        <is>
          <t>V25_PS_007</t>
        </is>
      </c>
      <c r="E8" s="43" t="inlineStr">
        <is>
          <t>V25_PS_007_StageFlowFactors.pdf</t>
        </is>
      </c>
      <c r="F8" s="43" t="inlineStr">
        <is>
          <t>Y</t>
        </is>
      </c>
      <c r="G8" s="43" t="inlineStr">
        <is>
          <t>stage controls</t>
        </is>
      </c>
      <c r="H8" s="43" t="inlineStr">
        <is>
          <t>new</t>
        </is>
      </c>
      <c r="I8" s="43" t="inlineStr">
        <is>
          <t>Different Flow Factor per stage</t>
        </is>
      </c>
      <c r="J8" s="43" t="inlineStr">
        <is>
          <t>Not Started</t>
        </is>
      </c>
      <c r="K8" s="43" t="str"/>
      <c r="L8" s="43" t="inlineStr">
        <is>
          <t>Well Water - Low TDS</t>
        </is>
      </c>
      <c r="M8" s="43" t="n">
        <v>100</v>
      </c>
      <c r="N8" s="43" t="n">
        <v>10</v>
      </c>
      <c r="O8" s="43" t="n">
        <v>25</v>
      </c>
      <c r="P8" s="43" t="n">
        <v>35</v>
      </c>
      <c r="Q8" s="43" t="n">
        <v>1</v>
      </c>
      <c r="R8" s="43" t="n">
        <v>75</v>
      </c>
      <c r="S8" s="43" t="inlineStr">
        <is>
          <t>Specify</t>
        </is>
      </c>
      <c r="T8" s="43" t="n">
        <v>25</v>
      </c>
      <c r="U8" s="43" t="n">
        <v>0.88</v>
      </c>
      <c r="V8" s="43" t="n">
        <v>0</v>
      </c>
      <c r="W8" s="43" t="n">
        <v>2</v>
      </c>
      <c r="X8" s="43" t="n">
        <v>7</v>
      </c>
      <c r="Y8" s="43" t="n">
        <v>6</v>
      </c>
      <c r="Z8" s="43" t="inlineStr">
        <is>
          <t>BW30-400</t>
        </is>
      </c>
      <c r="AA8" s="43" t="n"/>
      <c r="AB8" s="43" t="n"/>
      <c r="AC8" s="43" t="n">
        <v>0.82</v>
      </c>
      <c r="AD8" s="43" t="n">
        <v>3</v>
      </c>
      <c r="AE8" s="43" t="n">
        <v>6</v>
      </c>
      <c r="AF8" s="43" t="inlineStr">
        <is>
          <t>BW30-400</t>
        </is>
      </c>
      <c r="AG8" s="43" t="n"/>
      <c r="AH8" s="43" t="n"/>
      <c r="AI8" s="43" t="n">
        <v>0.9399999999999999</v>
      </c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3" t="n"/>
      <c r="BL8" s="43" t="n"/>
      <c r="BM8" s="43" t="n"/>
      <c r="BN8" s="43" t="n"/>
      <c r="BO8" s="43" t="n"/>
      <c r="BP8" s="43" t="n"/>
      <c r="BQ8" s="43" t="n"/>
      <c r="BR8" s="43" t="n"/>
      <c r="BS8" s="43" t="n"/>
      <c r="BT8" s="43" t="n"/>
      <c r="BU8" s="43" t="n"/>
      <c r="BV8" s="43" t="n"/>
      <c r="BW8" s="43" t="n"/>
      <c r="BX8" s="43" t="n"/>
      <c r="BY8" s="43" t="n"/>
      <c r="BZ8" s="43" t="n"/>
      <c r="CA8" s="43" t="n"/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43" t="n"/>
      <c r="CL8" s="43" t="n"/>
      <c r="CM8" s="43" t="n"/>
      <c r="CN8" s="43" t="n"/>
      <c r="CO8" s="43" t="n"/>
      <c r="CP8" s="43" t="n"/>
      <c r="CQ8" s="43" t="n"/>
      <c r="CR8" s="43" t="n"/>
      <c r="CS8" s="43" t="n"/>
      <c r="CT8" s="44" t="n"/>
    </row>
    <row r="9" ht="15" customHeight="1" s="146">
      <c r="A9" s="45" t="n">
        <v>8</v>
      </c>
      <c r="B9" s="46" t="inlineStr">
        <is>
          <t>PASS_STAGE</t>
        </is>
      </c>
      <c r="C9" s="46" t="inlineStr">
        <is>
          <t>Y</t>
        </is>
      </c>
      <c r="D9" s="46" t="inlineStr">
        <is>
          <t>V25_PS_008</t>
        </is>
      </c>
      <c r="E9" s="46" t="inlineStr">
        <is>
          <t>V25_PS_008_5Stage_VaryElements.pdf</t>
        </is>
      </c>
      <c r="F9" s="46" t="inlineStr">
        <is>
          <t>Y</t>
        </is>
      </c>
      <c r="G9" s="46" t="inlineStr">
        <is>
          <t>stage controls</t>
        </is>
      </c>
      <c r="H9" s="46" t="inlineStr">
        <is>
          <t>new</t>
        </is>
      </c>
      <c r="I9" s="46" t="inlineStr">
        <is>
          <t>5 Stage with different PV and Elements/PV</t>
        </is>
      </c>
      <c r="J9" s="46" t="inlineStr">
        <is>
          <t>Not Started</t>
        </is>
      </c>
      <c r="K9" s="46" t="str"/>
      <c r="L9" s="46" t="inlineStr">
        <is>
          <t>Well Water - Low Hardness</t>
        </is>
      </c>
      <c r="M9" s="46" t="n">
        <v>120</v>
      </c>
      <c r="N9" s="46" t="n">
        <v>10</v>
      </c>
      <c r="O9" s="46" t="n">
        <v>25</v>
      </c>
      <c r="P9" s="46" t="n">
        <v>35</v>
      </c>
      <c r="Q9" s="46" t="n">
        <v>1</v>
      </c>
      <c r="R9" s="46" t="n">
        <v>78</v>
      </c>
      <c r="S9" s="46" t="inlineStr">
        <is>
          <t>Specify</t>
        </is>
      </c>
      <c r="T9" s="46" t="n">
        <v>25</v>
      </c>
      <c r="U9" s="46" t="n">
        <v>0.85</v>
      </c>
      <c r="V9" s="46" t="n">
        <v>0</v>
      </c>
      <c r="W9" s="46" t="n">
        <v>5</v>
      </c>
      <c r="X9" s="46" t="n">
        <v>9</v>
      </c>
      <c r="Y9" s="46" t="n">
        <v>6</v>
      </c>
      <c r="Z9" s="46" t="inlineStr">
        <is>
          <t>BW30-400</t>
        </is>
      </c>
      <c r="AA9" s="46" t="n"/>
      <c r="AB9" s="46" t="n"/>
      <c r="AC9" s="46" t="n"/>
      <c r="AD9" s="46" t="n">
        <v>5</v>
      </c>
      <c r="AE9" s="46" t="n">
        <v>6</v>
      </c>
      <c r="AF9" s="46" t="inlineStr">
        <is>
          <t>BW30-400</t>
        </is>
      </c>
      <c r="AG9" s="46" t="n"/>
      <c r="AH9" s="46" t="n"/>
      <c r="AI9" s="46" t="n"/>
      <c r="AJ9" s="46" t="n">
        <v>3</v>
      </c>
      <c r="AK9" s="46" t="n">
        <v>5</v>
      </c>
      <c r="AL9" s="46" t="inlineStr">
        <is>
          <t>BW30-400</t>
        </is>
      </c>
      <c r="AM9" s="46" t="n"/>
      <c r="AN9" s="46" t="n"/>
      <c r="AO9" s="46" t="n"/>
      <c r="AP9" s="46" t="n">
        <v>2</v>
      </c>
      <c r="AQ9" s="46" t="n">
        <v>5</v>
      </c>
      <c r="AR9" s="46" t="inlineStr">
        <is>
          <t>BW30-400</t>
        </is>
      </c>
      <c r="AS9" s="46" t="n"/>
      <c r="AT9" s="46" t="n"/>
      <c r="AU9" s="46" t="n"/>
      <c r="AV9" s="46" t="n">
        <v>1</v>
      </c>
      <c r="AW9" s="46" t="n">
        <v>4</v>
      </c>
      <c r="AX9" s="46" t="inlineStr">
        <is>
          <t>BW30-400</t>
        </is>
      </c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  <c r="CO9" s="46" t="n"/>
      <c r="CP9" s="46" t="n"/>
      <c r="CQ9" s="46" t="n"/>
      <c r="CR9" s="46" t="n"/>
      <c r="CS9" s="46" t="n"/>
      <c r="CT9" s="47" t="n"/>
    </row>
  </sheetData>
  <conditionalFormatting sqref="J2:J9">
    <cfRule type="expression" priority="1" dxfId="0">
      <formula>J2="Passed"</formula>
    </cfRule>
    <cfRule type="expression" priority="2" dxfId="1">
      <formula>J2="Failed"</formula>
    </cfRule>
  </conditionalFormatting>
  <conditionalFormatting sqref="H2:H9">
    <cfRule type="expression" priority="3" dxfId="2">
      <formula>H2="experimental"</formula>
    </cfRule>
  </conditionalFormatting>
  <dataValidations count="17">
    <dataValidation sqref="C2:C9" showDropDown="0" showInputMessage="0" showErrorMessage="0" allowBlank="0" type="list">
      <formula1>"Y,N"</formula1>
    </dataValidation>
    <dataValidation sqref="F2:F9" showDropDown="0" showInputMessage="0" showErrorMessage="0" allowBlank="0" type="list">
      <formula1>"Y,N"</formula1>
    </dataValidation>
    <dataValidation sqref="J2:J9" showDropDown="0" showInputMessage="0" showErrorMessage="0" allowBlank="0" type="list">
      <formula1>"Not Started,Running,Passed,Failed,Skipped"</formula1>
    </dataValidation>
    <dataValidation sqref="S2:S9" showDropDown="0" showInputMessage="0" showErrorMessage="0" allowBlank="0" type="list">
      <formula1>"Minimum,Design,Maximum,Specify"</formula1>
    </dataValidation>
    <dataValidation sqref="AY2:AY9" showDropDown="0" showInputMessage="0" showErrorMessage="0" allowBlank="0" type="list">
      <formula1>"Minimum,Design,Maximum,Specify"</formula1>
    </dataValidation>
    <dataValidation sqref="CL2:CL9" showDropDown="0" showInputMessage="0" showErrorMessage="0" allowBlank="0" type="list">
      <formula1>"Y,N"</formula1>
    </dataValidation>
    <dataValidation sqref="CO2:CO9" showDropDown="0" showInputMessage="0" showErrorMessage="0" allowBlank="0" type="list">
      <formula1>"Y,N"</formula1>
    </dataValidation>
    <dataValidation sqref="CR2:CR9" showDropDown="0" showInputMessage="0" showErrorMessage="0" allowBlank="0" type="list">
      <formula1>"Y,N"</formula1>
    </dataValidation>
    <dataValidation sqref="CM2:CM9" showDropDown="0" showInputMessage="0" showErrorMessage="0" allowBlank="0" type="list">
      <formula1>"HCl (32),H2SO4 (98)"</formula1>
    </dataValidation>
    <dataValidation sqref="CP2:CP9" showDropDown="0" showInputMessage="0" showErrorMessage="0" allowBlank="0" type="list">
      <formula1>"CO2 Removal,CO2 Partial Pressure,CO2 Concentration"</formula1>
    </dataValidation>
    <dataValidation sqref="CS2:CS9" showDropDown="0" showInputMessage="0" showErrorMessage="0" allowBlank="0" type="list">
      <formula1>"NaOH (30),NaOH (50)"</formula1>
    </dataValidation>
    <dataValidation sqref="CU2:CU1000" showDropDown="0" showInputMessage="0" showErrorMessage="0" allowBlank="0" type="list">
      <formula1>"Y,N"</formula1>
    </dataValidation>
    <dataValidation sqref="CX2:CX1000" showDropDown="0" showInputMessage="0" showErrorMessage="0" allowBlank="0" type="list">
      <formula1>"Y,N"</formula1>
    </dataValidation>
    <dataValidation sqref="DE2:DE1000" showDropDown="0" showInputMessage="0" showErrorMessage="0" allowBlank="0" type="list">
      <formula1>"Y,N"</formula1>
    </dataValidation>
    <dataValidation sqref="DH2:DH1000" showDropDown="0" showInputMessage="0" showErrorMessage="0" allowBlank="0" type="list">
      <formula1>"Y,N"</formula1>
    </dataValidation>
    <dataValidation sqref="DA2:DA1000" showDropDown="0" showInputMessage="0" showErrorMessage="0" allowBlank="0" type="list">
      <formula1>"Minimum,Design,Maximum,Specify"</formula1>
    </dataValidation>
    <dataValidation sqref="DC2:DC1000" showDropDown="0" showInputMessage="0" showErrorMessage="0" allowBlank="0" type="list">
      <formula1>"Basic default,Specify,Based on RO config"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7"/>
  <sheetViews>
    <sheetView workbookViewId="0">
      <selection activeCell="A1" sqref="A1"/>
    </sheetView>
  </sheetViews>
  <sheetFormatPr baseColWidth="8" defaultRowHeight="15"/>
  <cols>
    <col width="12" customWidth="1" style="146" min="1" max="1"/>
    <col width="12" customWidth="1" style="146" min="2" max="2"/>
    <col width="12" customWidth="1" style="146" min="3" max="3"/>
    <col width="17" customWidth="1" style="146" min="4" max="4"/>
    <col width="42" customWidth="1" style="146" min="5" max="5"/>
    <col width="17" customWidth="1" style="146" min="6" max="6"/>
    <col width="17" customWidth="1" style="146" min="7" max="7"/>
    <col width="17" customWidth="1" style="146" min="8" max="8"/>
    <col width="35" customWidth="1" style="146" min="9" max="9"/>
    <col width="16" customWidth="1" style="146" min="10" max="10"/>
    <col width="40" customWidth="1" style="146" min="11" max="11"/>
    <col width="30" customWidth="1" style="146" min="12" max="12"/>
    <col width="16" customWidth="1" style="146" min="13" max="13"/>
    <col width="16" customWidth="1" style="146" min="14" max="14"/>
    <col width="16" customWidth="1" style="146" min="15" max="15"/>
    <col width="16" customWidth="1" style="146" min="16" max="16"/>
    <col width="16" customWidth="1" style="146" min="17" max="17"/>
    <col width="16" customWidth="1" style="146" min="18" max="18"/>
    <col width="16" customWidth="1" style="146" min="19" max="19"/>
    <col width="16" customWidth="1" style="146" min="20" max="20"/>
    <col width="16" customWidth="1" style="146" min="21" max="21"/>
    <col width="16" customWidth="1" style="146" min="22" max="22"/>
    <col width="16" customWidth="1" style="146" min="23" max="23"/>
    <col width="16" customWidth="1" style="146" min="24" max="24"/>
    <col width="16" customWidth="1" style="146" min="25" max="25"/>
    <col width="16" customWidth="1" style="146" min="26" max="26"/>
    <col width="16" customWidth="1" style="146" min="27" max="27"/>
    <col width="16" customWidth="1" style="146" min="28" max="28"/>
    <col width="16" customWidth="1" style="146" min="29" max="29"/>
    <col width="16" customWidth="1" style="146" min="30" max="30"/>
    <col width="16" customWidth="1" style="146" min="31" max="31"/>
    <col width="16" customWidth="1" style="146" min="32" max="32"/>
    <col width="16" customWidth="1" style="146" min="33" max="33"/>
    <col width="16" customWidth="1" style="146" min="34" max="34"/>
    <col width="16" customWidth="1" style="146" min="35" max="35"/>
    <col width="16" customWidth="1" style="146" min="36" max="36"/>
    <col width="16" customWidth="1" style="146" min="37" max="37"/>
    <col width="16" customWidth="1" style="146" min="38" max="38"/>
    <col width="16" customWidth="1" style="146" min="39" max="39"/>
    <col width="16" customWidth="1" style="146" min="40" max="40"/>
    <col width="16" customWidth="1" style="146" min="41" max="41"/>
    <col width="16" customWidth="1" style="146" min="42" max="42"/>
    <col width="16" customWidth="1" style="146" min="43" max="43"/>
    <col width="16" customWidth="1" style="146" min="44" max="44"/>
    <col width="16" customWidth="1" style="146" min="45" max="45"/>
    <col width="16" customWidth="1" style="146" min="46" max="46"/>
    <col width="16" customWidth="1" style="146" min="47" max="47"/>
    <col width="16" customWidth="1" style="146" min="48" max="48"/>
    <col width="16" customWidth="1" style="146" min="49" max="49"/>
    <col width="16" customWidth="1" style="146" min="50" max="50"/>
    <col width="16" customWidth="1" style="146" min="51" max="51"/>
    <col width="16" customWidth="1" style="146" min="52" max="52"/>
    <col width="16" customWidth="1" style="146" min="53" max="53"/>
    <col width="16" customWidth="1" style="146" min="54" max="54"/>
    <col width="16" customWidth="1" style="146" min="55" max="55"/>
    <col width="16" customWidth="1" style="146" min="56" max="56"/>
    <col width="16" customWidth="1" style="146" min="57" max="57"/>
    <col width="16" customWidth="1" style="146" min="58" max="58"/>
    <col width="16" customWidth="1" style="146" min="59" max="59"/>
    <col width="16" customWidth="1" style="146" min="60" max="60"/>
    <col width="16" customWidth="1" style="146" min="61" max="61"/>
    <col width="16" customWidth="1" style="146" min="62" max="62"/>
    <col width="16" customWidth="1" style="146" min="63" max="63"/>
    <col width="16" customWidth="1" style="146" min="64" max="64"/>
    <col width="16" customWidth="1" style="146" min="65" max="65"/>
    <col width="16" customWidth="1" style="146" min="66" max="66"/>
    <col width="16" customWidth="1" style="146" min="67" max="67"/>
    <col width="16" customWidth="1" style="146" min="68" max="68"/>
    <col width="16" customWidth="1" style="146" min="69" max="69"/>
    <col width="16" customWidth="1" style="146" min="70" max="70"/>
    <col width="16" customWidth="1" style="146" min="71" max="71"/>
    <col width="16" customWidth="1" style="146" min="72" max="72"/>
    <col width="16" customWidth="1" style="146" min="73" max="73"/>
    <col width="16" customWidth="1" style="146" min="74" max="74"/>
    <col width="16" customWidth="1" style="146" min="75" max="75"/>
    <col width="16" customWidth="1" style="146" min="76" max="76"/>
    <col width="16" customWidth="1" style="146" min="77" max="77"/>
    <col width="16" customWidth="1" style="146" min="78" max="78"/>
    <col width="16" customWidth="1" style="146" min="79" max="79"/>
    <col width="16" customWidth="1" style="146" min="80" max="80"/>
    <col width="16" customWidth="1" style="146" min="81" max="81"/>
    <col width="16" customWidth="1" style="146" min="82" max="82"/>
    <col width="16" customWidth="1" style="146" min="83" max="83"/>
    <col width="16" customWidth="1" style="146" min="84" max="84"/>
    <col width="16" customWidth="1" style="146" min="85" max="85"/>
    <col width="16" customWidth="1" style="146" min="86" max="86"/>
    <col width="16" customWidth="1" style="146" min="87" max="87"/>
    <col width="16" customWidth="1" style="146" min="88" max="88"/>
    <col width="16" customWidth="1" style="146" min="89" max="89"/>
    <col width="16" customWidth="1" style="146" min="90" max="90"/>
    <col width="16" customWidth="1" style="146" min="91" max="91"/>
    <col width="16" customWidth="1" style="146" min="92" max="92"/>
    <col width="16" customWidth="1" style="146" min="93" max="93"/>
    <col width="16" customWidth="1" style="146" min="94" max="94"/>
    <col width="16" customWidth="1" style="146" min="95" max="95"/>
    <col width="16" customWidth="1" style="146" min="96" max="96"/>
    <col width="16" customWidth="1" style="146" min="97" max="97"/>
    <col width="16" customWidth="1" style="146" min="98" max="98"/>
    <col width="17" customWidth="1" style="146" min="99" max="99"/>
    <col width="28" customWidth="1" style="146" min="100" max="100"/>
    <col width="20" customWidth="1" style="146" min="101" max="101"/>
    <col width="17" customWidth="1" style="146" min="102" max="102"/>
    <col width="28" customWidth="1" style="146" min="103" max="103"/>
    <col width="20" customWidth="1" style="146" min="104" max="104"/>
    <col width="24" customWidth="1" style="146" min="105" max="105"/>
    <col width="20" customWidth="1" style="146" min="106" max="106"/>
    <col width="24" customWidth="1" style="146" min="107" max="107"/>
    <col width="20" customWidth="1" style="146" min="108" max="108"/>
    <col width="17" customWidth="1" style="146" min="109" max="109"/>
    <col width="28" customWidth="1" style="146" min="110" max="110"/>
    <col width="20" customWidth="1" style="146" min="111" max="111"/>
    <col width="17" customWidth="1" style="146" min="112" max="112"/>
    <col width="20" customWidth="1" style="146" min="113" max="113"/>
  </cols>
  <sheetData>
    <row r="1" ht="34" customHeight="1" s="146">
      <c r="A1" s="12" t="inlineStr">
        <is>
          <t>Batch_Order</t>
        </is>
      </c>
      <c r="B1" s="13" t="inlineStr">
        <is>
          <t>Batch_Group</t>
        </is>
      </c>
      <c r="C1" s="13" t="inlineStr">
        <is>
          <t>Run_Enabled</t>
        </is>
      </c>
      <c r="D1" s="13" t="inlineStr">
        <is>
          <t>Case_ID</t>
        </is>
      </c>
      <c r="E1" s="13" t="inlineStr">
        <is>
          <t>Recommended_PDF_Name</t>
        </is>
      </c>
      <c r="F1" s="13" t="inlineStr">
        <is>
          <t>Fresh_Project_Required</t>
        </is>
      </c>
      <c r="G1" s="13" t="inlineStr">
        <is>
          <t>Test_Lane</t>
        </is>
      </c>
      <c r="H1" s="13" t="inlineStr">
        <is>
          <t>Expected_Tier</t>
        </is>
      </c>
      <c r="I1" s="13" t="inlineStr">
        <is>
          <t>Test_Purpose</t>
        </is>
      </c>
      <c r="J1" s="13" t="inlineStr">
        <is>
          <t>Run_Status</t>
        </is>
      </c>
      <c r="K1" s="13" t="inlineStr">
        <is>
          <t>Notes</t>
        </is>
      </c>
      <c r="L1" s="13" t="inlineStr">
        <is>
          <t>WAVE_Library_Selection</t>
        </is>
      </c>
      <c r="M1" s="13" t="inlineStr">
        <is>
          <t>Feed_Flow_m3h</t>
        </is>
      </c>
      <c r="N1" s="13" t="inlineStr">
        <is>
          <t>Temperature_Min_C</t>
        </is>
      </c>
      <c r="O1" s="13" t="inlineStr">
        <is>
          <t>Temperature_Design_C</t>
        </is>
      </c>
      <c r="P1" s="13" t="inlineStr">
        <is>
          <t>Temperature_Max_C</t>
        </is>
      </c>
      <c r="Q1" s="13" t="inlineStr">
        <is>
          <t>Pass_Count</t>
        </is>
      </c>
      <c r="R1" s="13" t="inlineStr">
        <is>
          <t>Pass1_Recovery_pct</t>
        </is>
      </c>
      <c r="S1" s="13" t="inlineStr">
        <is>
          <t>Pass1_Temperature_Mode</t>
        </is>
      </c>
      <c r="T1" s="13" t="inlineStr">
        <is>
          <t>Pass1_Temperature_C</t>
        </is>
      </c>
      <c r="U1" s="13" t="inlineStr">
        <is>
          <t>Pass1_Flow_Factor</t>
        </is>
      </c>
      <c r="V1" s="13" t="inlineStr">
        <is>
          <t>Pass1_Permeate_Back_Pressure_bar</t>
        </is>
      </c>
      <c r="W1" s="13" t="inlineStr">
        <is>
          <t>Pass1_Stage_Count</t>
        </is>
      </c>
      <c r="X1" s="13" t="inlineStr">
        <is>
          <t>P1S1_PV</t>
        </is>
      </c>
      <c r="Y1" s="13" t="inlineStr">
        <is>
          <t>P1S1_Elements_per_PV</t>
        </is>
      </c>
      <c r="Z1" s="13" t="inlineStr">
        <is>
          <t>P1S1_Membrane</t>
        </is>
      </c>
      <c r="AA1" s="13" t="inlineStr">
        <is>
          <t>P1S1_Stage_Back_Pressure_bar</t>
        </is>
      </c>
      <c r="AB1" s="13" t="inlineStr">
        <is>
          <t>P1S1_Boost_Pressure_bar</t>
        </is>
      </c>
      <c r="AC1" s="13" t="inlineStr">
        <is>
          <t>P1S1_Flow_Factor</t>
        </is>
      </c>
      <c r="AD1" s="13" t="inlineStr">
        <is>
          <t>P1S2_PV</t>
        </is>
      </c>
      <c r="AE1" s="13" t="inlineStr">
        <is>
          <t>P1S2_Elements_per_PV</t>
        </is>
      </c>
      <c r="AF1" s="13" t="inlineStr">
        <is>
          <t>P1S2_Membrane</t>
        </is>
      </c>
      <c r="AG1" s="13" t="inlineStr">
        <is>
          <t>P1S2_Stage_Back_Pressure_bar</t>
        </is>
      </c>
      <c r="AH1" s="13" t="inlineStr">
        <is>
          <t>P1S2_Boost_Pressure_bar</t>
        </is>
      </c>
      <c r="AI1" s="13" t="inlineStr">
        <is>
          <t>P1S2_Flow_Factor</t>
        </is>
      </c>
      <c r="AJ1" s="13" t="inlineStr">
        <is>
          <t>P1S3_PV</t>
        </is>
      </c>
      <c r="AK1" s="13" t="inlineStr">
        <is>
          <t>P1S3_Elements_per_PV</t>
        </is>
      </c>
      <c r="AL1" s="13" t="inlineStr">
        <is>
          <t>P1S3_Membrane</t>
        </is>
      </c>
      <c r="AM1" s="13" t="inlineStr">
        <is>
          <t>P1S3_Stage_Back_Pressure_bar</t>
        </is>
      </c>
      <c r="AN1" s="13" t="inlineStr">
        <is>
          <t>P1S3_Boost_Pressure_bar</t>
        </is>
      </c>
      <c r="AO1" s="13" t="inlineStr">
        <is>
          <t>P1S3_Flow_Factor</t>
        </is>
      </c>
      <c r="AP1" s="13" t="inlineStr">
        <is>
          <t>P1S4_PV</t>
        </is>
      </c>
      <c r="AQ1" s="13" t="inlineStr">
        <is>
          <t>P1S4_Elements_per_PV</t>
        </is>
      </c>
      <c r="AR1" s="13" t="inlineStr">
        <is>
          <t>P1S4_Membrane</t>
        </is>
      </c>
      <c r="AS1" s="13" t="inlineStr">
        <is>
          <t>P1S4_Stage_Back_Pressure_bar</t>
        </is>
      </c>
      <c r="AT1" s="13" t="inlineStr">
        <is>
          <t>P1S4_Boost_Pressure_bar</t>
        </is>
      </c>
      <c r="AU1" s="13" t="inlineStr">
        <is>
          <t>P1S4_Flow_Factor</t>
        </is>
      </c>
      <c r="AV1" s="13" t="inlineStr">
        <is>
          <t>P1S5_PV</t>
        </is>
      </c>
      <c r="AW1" s="13" t="inlineStr">
        <is>
          <t>P1S5_Elements_per_PV</t>
        </is>
      </c>
      <c r="AX1" s="13" t="inlineStr">
        <is>
          <t>P1S5_Membrane</t>
        </is>
      </c>
      <c r="AY1" s="13" t="inlineStr">
        <is>
          <t>P1S5_Stage_Back_Pressure_bar</t>
        </is>
      </c>
      <c r="AZ1" s="13" t="inlineStr">
        <is>
          <t>P1S5_Boost_Pressure_bar</t>
        </is>
      </c>
      <c r="BA1" s="13" t="inlineStr">
        <is>
          <t>P1S5_Flow_Factor</t>
        </is>
      </c>
      <c r="BB1" s="13" t="inlineStr">
        <is>
          <t>Pass2_Recovery_pct</t>
        </is>
      </c>
      <c r="BC1" s="13" t="inlineStr">
        <is>
          <t>Pass2_Temperature_Mode</t>
        </is>
      </c>
      <c r="BD1" s="13" t="inlineStr">
        <is>
          <t>Pass2_Temperature_C</t>
        </is>
      </c>
      <c r="BE1" s="13" t="inlineStr">
        <is>
          <t>Pass2_Flow_Factor</t>
        </is>
      </c>
      <c r="BF1" s="13" t="inlineStr">
        <is>
          <t>Pass2_Permeate_Back_Pressure_bar</t>
        </is>
      </c>
      <c r="BG1" s="13" t="inlineStr">
        <is>
          <t>Pass2_Stage_Count</t>
        </is>
      </c>
      <c r="BH1" s="13" t="inlineStr">
        <is>
          <t>P2S1_PV</t>
        </is>
      </c>
      <c r="BI1" s="13" t="inlineStr">
        <is>
          <t>P2S1_Elements_per_PV</t>
        </is>
      </c>
      <c r="BJ1" s="13" t="inlineStr">
        <is>
          <t>P2S1_Membrane</t>
        </is>
      </c>
      <c r="BK1" s="13" t="inlineStr">
        <is>
          <t>P2S1_Stage_Back_Pressure_bar</t>
        </is>
      </c>
      <c r="BL1" s="13" t="inlineStr">
        <is>
          <t>P2S1_Boost_Pressure_bar</t>
        </is>
      </c>
      <c r="BM1" s="13" t="inlineStr">
        <is>
          <t>P2S1_Flow_Factor</t>
        </is>
      </c>
      <c r="BN1" s="13" t="inlineStr">
        <is>
          <t>P2S2_PV</t>
        </is>
      </c>
      <c r="BO1" s="13" t="inlineStr">
        <is>
          <t>P2S2_Elements_per_PV</t>
        </is>
      </c>
      <c r="BP1" s="13" t="inlineStr">
        <is>
          <t>P2S2_Membrane</t>
        </is>
      </c>
      <c r="BQ1" s="13" t="inlineStr">
        <is>
          <t>P2S2_Stage_Back_Pressure_bar</t>
        </is>
      </c>
      <c r="BR1" s="13" t="inlineStr">
        <is>
          <t>P2S2_Boost_Pressure_bar</t>
        </is>
      </c>
      <c r="BS1" s="13" t="inlineStr">
        <is>
          <t>P2S2_Flow_Factor</t>
        </is>
      </c>
      <c r="BT1" s="13" t="inlineStr">
        <is>
          <t>P2S3_PV</t>
        </is>
      </c>
      <c r="BU1" s="13" t="inlineStr">
        <is>
          <t>P2S3_Elements_per_PV</t>
        </is>
      </c>
      <c r="BV1" s="13" t="inlineStr">
        <is>
          <t>P2S3_Membrane</t>
        </is>
      </c>
      <c r="BW1" s="13" t="inlineStr">
        <is>
          <t>P2S3_Stage_Back_Pressure_bar</t>
        </is>
      </c>
      <c r="BX1" s="13" t="inlineStr">
        <is>
          <t>P2S3_Boost_Pressure_bar</t>
        </is>
      </c>
      <c r="BY1" s="13" t="inlineStr">
        <is>
          <t>P2S3_Flow_Factor</t>
        </is>
      </c>
      <c r="BZ1" s="13" t="inlineStr">
        <is>
          <t>P2S4_PV</t>
        </is>
      </c>
      <c r="CA1" s="13" t="inlineStr">
        <is>
          <t>P2S4_Elements_per_PV</t>
        </is>
      </c>
      <c r="CB1" s="13" t="inlineStr">
        <is>
          <t>P2S4_Membrane</t>
        </is>
      </c>
      <c r="CC1" s="13" t="inlineStr">
        <is>
          <t>P2S4_Stage_Back_Pressure_bar</t>
        </is>
      </c>
      <c r="CD1" s="13" t="inlineStr">
        <is>
          <t>P2S4_Boost_Pressure_bar</t>
        </is>
      </c>
      <c r="CE1" s="13" t="inlineStr">
        <is>
          <t>P2S4_Flow_Factor</t>
        </is>
      </c>
      <c r="CF1" s="13" t="inlineStr">
        <is>
          <t>P2S5_PV</t>
        </is>
      </c>
      <c r="CG1" s="13" t="inlineStr">
        <is>
          <t>P2S5_Elements_per_PV</t>
        </is>
      </c>
      <c r="CH1" s="13" t="inlineStr">
        <is>
          <t>P2S5_Membrane</t>
        </is>
      </c>
      <c r="CI1" s="13" t="inlineStr">
        <is>
          <t>P2S5_Stage_Back_Pressure_bar</t>
        </is>
      </c>
      <c r="CJ1" s="13" t="inlineStr">
        <is>
          <t>P2S5_Boost_Pressure_bar</t>
        </is>
      </c>
      <c r="CK1" s="13" t="inlineStr">
        <is>
          <t>P2S5_Flow_Factor</t>
        </is>
      </c>
      <c r="CL1" s="13" t="inlineStr">
        <is>
          <t>Acid_Enabled</t>
        </is>
      </c>
      <c r="CM1" s="13" t="inlineStr">
        <is>
          <t>Acid_Type</t>
        </is>
      </c>
      <c r="CN1" s="13" t="inlineStr">
        <is>
          <t>Acid_Target_pH</t>
        </is>
      </c>
      <c r="CO1" s="13" t="inlineStr">
        <is>
          <t>Degas_Enabled</t>
        </is>
      </c>
      <c r="CP1" s="13" t="inlineStr">
        <is>
          <t>Degas_Mode</t>
        </is>
      </c>
      <c r="CQ1" s="13" t="inlineStr">
        <is>
          <t>Degas_Value</t>
        </is>
      </c>
      <c r="CR1" s="13" t="inlineStr">
        <is>
          <t>Base_Enabled</t>
        </is>
      </c>
      <c r="CS1" s="13" t="inlineStr">
        <is>
          <t>Base_Type</t>
        </is>
      </c>
      <c r="CT1" s="14" t="inlineStr">
        <is>
          <t>Base_Target_pH</t>
        </is>
      </c>
      <c r="CU1" s="160" t="inlineStr">
        <is>
          <t>Antiscalant_Enabled</t>
        </is>
      </c>
      <c r="CV1" s="160" t="inlineStr">
        <is>
          <t>Antiscalant_Type</t>
        </is>
      </c>
      <c r="CW1" s="160" t="inlineStr">
        <is>
          <t>Antiscalant_Dose_mgL</t>
        </is>
      </c>
      <c r="CX1" s="160" t="inlineStr">
        <is>
          <t>Dechlorinator_Enabled</t>
        </is>
      </c>
      <c r="CY1" s="160" t="inlineStr">
        <is>
          <t>Dechlorinator_Type</t>
        </is>
      </c>
      <c r="CZ1" s="160" t="inlineStr">
        <is>
          <t>Dechlorinator_Dose_mgL</t>
        </is>
      </c>
      <c r="DA1" s="160" t="inlineStr">
        <is>
          <t>Chemical_Temperature_Mode</t>
        </is>
      </c>
      <c r="DB1" s="160" t="inlineStr">
        <is>
          <t>Chemical_Temperature_C</t>
        </is>
      </c>
      <c r="DC1" s="160" t="inlineStr">
        <is>
          <t>Chemical_Recovery_Mode</t>
        </is>
      </c>
      <c r="DD1" s="160" t="inlineStr">
        <is>
          <t>Chemical_Recovery_pct</t>
        </is>
      </c>
      <c r="DE1" s="160" t="inlineStr">
        <is>
          <t>Compaction_Enabled</t>
        </is>
      </c>
      <c r="DF1" s="160" t="inlineStr">
        <is>
          <t>Compaction_Mode</t>
        </is>
      </c>
      <c r="DG1" s="160" t="inlineStr">
        <is>
          <t>Compaction_Value</t>
        </is>
      </c>
      <c r="DH1" s="160" t="inlineStr">
        <is>
          <t>RO_TOC_Rejection_Enabled</t>
        </is>
      </c>
      <c r="DI1" s="160" t="inlineStr">
        <is>
          <t>RO_TOC_Rejection_pct</t>
        </is>
      </c>
    </row>
    <row r="2" ht="15" customHeight="1" s="146">
      <c r="A2" s="42" t="n">
        <v>1</v>
      </c>
      <c r="B2" s="43" t="inlineStr">
        <is>
          <t>TWO_PASS</t>
        </is>
      </c>
      <c r="C2" s="43" t="inlineStr">
        <is>
          <t>Y</t>
        </is>
      </c>
      <c r="D2" s="43" t="inlineStr">
        <is>
          <t>V25_2P_001</t>
        </is>
      </c>
      <c r="E2" s="43" t="inlineStr">
        <is>
          <t>V25_2P_001_1S_1S.pdf</t>
        </is>
      </c>
      <c r="F2" s="43" t="inlineStr">
        <is>
          <t>Y</t>
        </is>
      </c>
      <c r="G2" s="43" t="inlineStr">
        <is>
          <t>2 Pass</t>
        </is>
      </c>
      <c r="H2" s="43" t="inlineStr">
        <is>
          <t>experimental</t>
        </is>
      </c>
      <c r="I2" s="43" t="inlineStr">
        <is>
          <t>Basic 2 Pass, one stage each</t>
        </is>
      </c>
      <c r="J2" s="43" t="inlineStr">
        <is>
          <t>Not Started</t>
        </is>
      </c>
      <c r="K2" s="43" t="str"/>
      <c r="L2" s="43" t="inlineStr">
        <is>
          <t>Well Water - Med Hardness</t>
        </is>
      </c>
      <c r="M2" s="43" t="n">
        <v>100</v>
      </c>
      <c r="N2" s="43" t="n">
        <v>10</v>
      </c>
      <c r="O2" s="43" t="n">
        <v>25</v>
      </c>
      <c r="P2" s="43" t="n">
        <v>35</v>
      </c>
      <c r="Q2" s="43" t="n">
        <v>2</v>
      </c>
      <c r="R2" s="43" t="n">
        <v>75</v>
      </c>
      <c r="S2" s="43" t="inlineStr">
        <is>
          <t>Design</t>
        </is>
      </c>
      <c r="T2" s="43" t="n">
        <v>25</v>
      </c>
      <c r="U2" s="43" t="n">
        <v>0.85</v>
      </c>
      <c r="V2" s="43" t="n">
        <v>0</v>
      </c>
      <c r="W2" s="43" t="n">
        <v>1</v>
      </c>
      <c r="X2" s="43" t="n">
        <v>10</v>
      </c>
      <c r="Y2" s="43" t="n">
        <v>6</v>
      </c>
      <c r="Z2" s="43" t="inlineStr">
        <is>
          <t>BW30-400</t>
        </is>
      </c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>
        <v>80</v>
      </c>
      <c r="BC2" s="43" t="inlineStr">
        <is>
          <t>Specify</t>
        </is>
      </c>
      <c r="BD2" s="43" t="n">
        <v>25</v>
      </c>
      <c r="BE2" s="43" t="n">
        <v>1</v>
      </c>
      <c r="BF2" s="43" t="n">
        <v>0</v>
      </c>
      <c r="BG2" s="43" t="n">
        <v>1</v>
      </c>
      <c r="BH2" s="43" t="n">
        <v>6</v>
      </c>
      <c r="BI2" s="43" t="n">
        <v>6</v>
      </c>
      <c r="BJ2" s="43" t="inlineStr">
        <is>
          <t>BW30-400</t>
        </is>
      </c>
      <c r="BK2" s="43" t="n"/>
      <c r="BL2" s="43" t="n"/>
      <c r="BM2" s="43" t="n"/>
      <c r="BN2" s="43" t="n"/>
      <c r="BO2" s="43" t="n"/>
      <c r="BP2" s="43" t="n"/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  <c r="CO2" s="43" t="n"/>
      <c r="CP2" s="43" t="n"/>
      <c r="CQ2" s="43" t="n"/>
      <c r="CR2" s="43" t="n"/>
      <c r="CS2" s="43" t="n"/>
      <c r="CT2" s="44" t="n"/>
    </row>
    <row r="3" ht="15" customHeight="1" s="146">
      <c r="A3" s="42" t="n">
        <v>2</v>
      </c>
      <c r="B3" s="43" t="inlineStr">
        <is>
          <t>TWO_PASS</t>
        </is>
      </c>
      <c r="C3" s="43" t="inlineStr">
        <is>
          <t>Y</t>
        </is>
      </c>
      <c r="D3" s="43" t="inlineStr">
        <is>
          <t>V25_2P_002</t>
        </is>
      </c>
      <c r="E3" s="43" t="inlineStr">
        <is>
          <t>V25_2P_002_2S_1S_Mixed.pdf</t>
        </is>
      </c>
      <c r="F3" s="43" t="inlineStr">
        <is>
          <t>Y</t>
        </is>
      </c>
      <c r="G3" s="43" t="inlineStr">
        <is>
          <t>2 Pass</t>
        </is>
      </c>
      <c r="H3" s="43" t="inlineStr">
        <is>
          <t>experimental</t>
        </is>
      </c>
      <c r="I3" s="43" t="inlineStr">
        <is>
          <t>Pass 1 two stages + Pass 2 back pressure</t>
        </is>
      </c>
      <c r="J3" s="43" t="inlineStr">
        <is>
          <t>Not Started</t>
        </is>
      </c>
      <c r="K3" s="43" t="str"/>
      <c r="L3" s="43" t="inlineStr">
        <is>
          <t>Well Water - High Hardness</t>
        </is>
      </c>
      <c r="M3" s="43" t="n">
        <v>100</v>
      </c>
      <c r="N3" s="43" t="n">
        <v>15</v>
      </c>
      <c r="O3" s="43" t="n">
        <v>25</v>
      </c>
      <c r="P3" s="43" t="n">
        <v>35</v>
      </c>
      <c r="Q3" s="43" t="n">
        <v>2</v>
      </c>
      <c r="R3" s="43" t="n">
        <v>70</v>
      </c>
      <c r="S3" s="43" t="inlineStr">
        <is>
          <t>Design</t>
        </is>
      </c>
      <c r="T3" s="43" t="n">
        <v>25</v>
      </c>
      <c r="U3" s="43" t="n">
        <v>0.85</v>
      </c>
      <c r="V3" s="43" t="n">
        <v>0</v>
      </c>
      <c r="W3" s="43" t="n">
        <v>2</v>
      </c>
      <c r="X3" s="43" t="n">
        <v>7</v>
      </c>
      <c r="Y3" s="43" t="n">
        <v>6</v>
      </c>
      <c r="Z3" s="43" t="inlineStr">
        <is>
          <t>BW30XHR PRO-440</t>
        </is>
      </c>
      <c r="AA3" s="43" t="n"/>
      <c r="AB3" s="43" t="n"/>
      <c r="AC3" s="43" t="n"/>
      <c r="AD3" s="43" t="n">
        <v>3</v>
      </c>
      <c r="AE3" s="43" t="n">
        <v>6</v>
      </c>
      <c r="AF3" s="43" t="inlineStr">
        <is>
          <t>BW30HR-440</t>
        </is>
      </c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>
        <v>82</v>
      </c>
      <c r="BC3" s="43" t="inlineStr">
        <is>
          <t>Specify</t>
        </is>
      </c>
      <c r="BD3" s="43" t="n">
        <v>25</v>
      </c>
      <c r="BE3" s="43" t="n">
        <v>1</v>
      </c>
      <c r="BF3" s="43" t="n">
        <v>0.3</v>
      </c>
      <c r="BG3" s="43" t="n">
        <v>1</v>
      </c>
      <c r="BH3" s="43" t="n">
        <v>6</v>
      </c>
      <c r="BI3" s="43" t="n">
        <v>6</v>
      </c>
      <c r="BJ3" s="43" t="inlineStr">
        <is>
          <t>BW30-400</t>
        </is>
      </c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4" t="n"/>
    </row>
    <row r="4" ht="15" customHeight="1" s="146">
      <c r="A4" s="42" t="n">
        <v>3</v>
      </c>
      <c r="B4" s="43" t="inlineStr">
        <is>
          <t>TWO_PASS</t>
        </is>
      </c>
      <c r="C4" s="43" t="inlineStr">
        <is>
          <t>Y</t>
        </is>
      </c>
      <c r="D4" s="43" t="inlineStr">
        <is>
          <t>V25_2P_003</t>
        </is>
      </c>
      <c r="E4" s="43" t="inlineStr">
        <is>
          <t>V25_2P_003_2S_2S.pdf</t>
        </is>
      </c>
      <c r="F4" s="43" t="inlineStr">
        <is>
          <t>Y</t>
        </is>
      </c>
      <c r="G4" s="43" t="inlineStr">
        <is>
          <t>2 Pass</t>
        </is>
      </c>
      <c r="H4" s="43" t="inlineStr">
        <is>
          <t>experimental</t>
        </is>
      </c>
      <c r="I4" s="43" t="inlineStr">
        <is>
          <t>Two stages in both passes</t>
        </is>
      </c>
      <c r="J4" s="43" t="inlineStr">
        <is>
          <t>Not Started</t>
        </is>
      </c>
      <c r="K4" s="43" t="str"/>
      <c r="L4" s="43" t="inlineStr">
        <is>
          <t>Well Water - Low TDS</t>
        </is>
      </c>
      <c r="M4" s="43" t="n">
        <v>100</v>
      </c>
      <c r="N4" s="43" t="n">
        <v>10</v>
      </c>
      <c r="O4" s="43" t="n">
        <v>25</v>
      </c>
      <c r="P4" s="43" t="n">
        <v>35</v>
      </c>
      <c r="Q4" s="43" t="n">
        <v>2</v>
      </c>
      <c r="R4" s="43" t="n">
        <v>75</v>
      </c>
      <c r="S4" s="43" t="inlineStr">
        <is>
          <t>Specify</t>
        </is>
      </c>
      <c r="T4" s="43" t="n">
        <v>25</v>
      </c>
      <c r="U4" s="43" t="n">
        <v>0.88</v>
      </c>
      <c r="V4" s="43" t="n">
        <v>0</v>
      </c>
      <c r="W4" s="43" t="n">
        <v>2</v>
      </c>
      <c r="X4" s="43" t="n">
        <v>7</v>
      </c>
      <c r="Y4" s="43" t="n">
        <v>6</v>
      </c>
      <c r="Z4" s="43" t="inlineStr">
        <is>
          <t>BW30-400</t>
        </is>
      </c>
      <c r="AA4" s="43" t="n"/>
      <c r="AB4" s="43" t="n"/>
      <c r="AC4" s="43" t="n">
        <v>0.84</v>
      </c>
      <c r="AD4" s="43" t="n">
        <v>3</v>
      </c>
      <c r="AE4" s="43" t="n">
        <v>6</v>
      </c>
      <c r="AF4" s="43" t="inlineStr">
        <is>
          <t>BW30 PRO-400</t>
        </is>
      </c>
      <c r="AG4" s="43" t="n"/>
      <c r="AH4" s="43" t="n"/>
      <c r="AI4" s="43" t="n">
        <v>0.92</v>
      </c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>
        <v>85</v>
      </c>
      <c r="BC4" s="43" t="inlineStr">
        <is>
          <t>Specify</t>
        </is>
      </c>
      <c r="BD4" s="43" t="n">
        <v>25</v>
      </c>
      <c r="BE4" s="43" t="n">
        <v>1.05</v>
      </c>
      <c r="BF4" s="43" t="n">
        <v>0</v>
      </c>
      <c r="BG4" s="43" t="n">
        <v>2</v>
      </c>
      <c r="BH4" s="43" t="n">
        <v>4</v>
      </c>
      <c r="BI4" s="43" t="n">
        <v>6</v>
      </c>
      <c r="BJ4" s="43" t="inlineStr">
        <is>
          <t>BW30-400</t>
        </is>
      </c>
      <c r="BK4" s="43" t="n"/>
      <c r="BL4" s="43" t="n"/>
      <c r="BM4" s="43" t="n"/>
      <c r="BN4" s="43" t="n">
        <v>2</v>
      </c>
      <c r="BO4" s="43" t="n">
        <v>6</v>
      </c>
      <c r="BP4" s="43" t="inlineStr">
        <is>
          <t>BW30 PRO-400</t>
        </is>
      </c>
      <c r="BQ4" s="43" t="n">
        <v>0.2</v>
      </c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4" t="n"/>
    </row>
    <row r="5" ht="26.39999961853027" customHeight="1" s="146">
      <c r="A5" s="42" t="n">
        <v>4</v>
      </c>
      <c r="B5" s="43" t="inlineStr">
        <is>
          <t>TWO_PASS</t>
        </is>
      </c>
      <c r="C5" s="43" t="inlineStr">
        <is>
          <t>Y</t>
        </is>
      </c>
      <c r="D5" s="43" t="inlineStr">
        <is>
          <t>V25_2P_004</t>
        </is>
      </c>
      <c r="E5" s="43" t="inlineStr">
        <is>
          <t>V25_2P_004_3S_1S_TempModes.pdf</t>
        </is>
      </c>
      <c r="F5" s="43" t="inlineStr">
        <is>
          <t>Y</t>
        </is>
      </c>
      <c r="G5" s="43" t="inlineStr">
        <is>
          <t>2 Pass</t>
        </is>
      </c>
      <c r="H5" s="43" t="inlineStr">
        <is>
          <t>experimental</t>
        </is>
      </c>
      <c r="I5" s="43" t="inlineStr">
        <is>
          <t>Pass temperature modes Minimum and Maximum</t>
        </is>
      </c>
      <c r="J5" s="43" t="inlineStr">
        <is>
          <t>Not Started</t>
        </is>
      </c>
      <c r="K5" s="43" t="str"/>
      <c r="L5" s="43" t="inlineStr">
        <is>
          <t>Well Water - Med Hardness</t>
        </is>
      </c>
      <c r="M5" s="43" t="n">
        <v>100</v>
      </c>
      <c r="N5" s="43" t="n">
        <v>10</v>
      </c>
      <c r="O5" s="43" t="n">
        <v>25</v>
      </c>
      <c r="P5" s="43" t="n">
        <v>35</v>
      </c>
      <c r="Q5" s="43" t="n">
        <v>2</v>
      </c>
      <c r="R5" s="43" t="n">
        <v>72</v>
      </c>
      <c r="S5" s="43" t="inlineStr">
        <is>
          <t>Minimum</t>
        </is>
      </c>
      <c r="T5" s="43" t="n">
        <v>10</v>
      </c>
      <c r="U5" s="43" t="n">
        <v>0.85</v>
      </c>
      <c r="V5" s="43" t="n">
        <v>0</v>
      </c>
      <c r="W5" s="43" t="n">
        <v>3</v>
      </c>
      <c r="X5" s="43" t="n">
        <v>6</v>
      </c>
      <c r="Y5" s="43" t="n">
        <v>6</v>
      </c>
      <c r="Z5" s="43" t="inlineStr">
        <is>
          <t>BW30-400</t>
        </is>
      </c>
      <c r="AA5" s="43" t="n"/>
      <c r="AB5" s="43" t="n"/>
      <c r="AC5" s="43" t="n"/>
      <c r="AD5" s="43" t="n">
        <v>3</v>
      </c>
      <c r="AE5" s="43" t="n">
        <v>6</v>
      </c>
      <c r="AF5" s="43" t="inlineStr">
        <is>
          <t>BW30-400</t>
        </is>
      </c>
      <c r="AG5" s="43" t="n"/>
      <c r="AH5" s="43" t="n"/>
      <c r="AI5" s="43" t="n"/>
      <c r="AJ5" s="43" t="n">
        <v>1</v>
      </c>
      <c r="AK5" s="43" t="n">
        <v>6</v>
      </c>
      <c r="AL5" s="43" t="inlineStr">
        <is>
          <t>BW30-400</t>
        </is>
      </c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>
        <v>80</v>
      </c>
      <c r="BC5" s="43" t="inlineStr">
        <is>
          <t>Maximum</t>
        </is>
      </c>
      <c r="BD5" s="43" t="n">
        <v>35</v>
      </c>
      <c r="BE5" s="43" t="n">
        <v>1</v>
      </c>
      <c r="BF5" s="43" t="n">
        <v>0</v>
      </c>
      <c r="BG5" s="43" t="n">
        <v>1</v>
      </c>
      <c r="BH5" s="43" t="n">
        <v>6</v>
      </c>
      <c r="BI5" s="43" t="n">
        <v>6</v>
      </c>
      <c r="BJ5" s="43" t="inlineStr">
        <is>
          <t>BW30-400</t>
        </is>
      </c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n"/>
      <c r="CP5" s="43" t="n"/>
      <c r="CQ5" s="43" t="n"/>
      <c r="CR5" s="43" t="n"/>
      <c r="CS5" s="43" t="n"/>
      <c r="CT5" s="44" t="n"/>
    </row>
    <row r="6" ht="15" customHeight="1" s="146">
      <c r="A6" s="42" t="n">
        <v>5</v>
      </c>
      <c r="B6" s="43" t="inlineStr">
        <is>
          <t>TWO_PASS</t>
        </is>
      </c>
      <c r="C6" s="43" t="inlineStr">
        <is>
          <t>Y</t>
        </is>
      </c>
      <c r="D6" s="43" t="inlineStr">
        <is>
          <t>V25_2P_005</t>
        </is>
      </c>
      <c r="E6" s="43" t="inlineStr">
        <is>
          <t>V25_2P_005_1S_2S_Membranes.pdf</t>
        </is>
      </c>
      <c r="F6" s="43" t="inlineStr">
        <is>
          <t>Y</t>
        </is>
      </c>
      <c r="G6" s="43" t="inlineStr">
        <is>
          <t>2 Pass</t>
        </is>
      </c>
      <c r="H6" s="43" t="inlineStr">
        <is>
          <t>experimental</t>
        </is>
      </c>
      <c r="I6" s="43" t="inlineStr">
        <is>
          <t>Different membranes between passes</t>
        </is>
      </c>
      <c r="J6" s="43" t="inlineStr">
        <is>
          <t>Not Started</t>
        </is>
      </c>
      <c r="K6" s="43" t="str"/>
      <c r="L6" s="43" t="inlineStr">
        <is>
          <t>Well Water - Low Hardness</t>
        </is>
      </c>
      <c r="M6" s="43" t="n">
        <v>100</v>
      </c>
      <c r="N6" s="43" t="n">
        <v>10</v>
      </c>
      <c r="O6" s="43" t="n">
        <v>25</v>
      </c>
      <c r="P6" s="43" t="n">
        <v>35</v>
      </c>
      <c r="Q6" s="43" t="n">
        <v>2</v>
      </c>
      <c r="R6" s="43" t="n">
        <v>74</v>
      </c>
      <c r="S6" s="43" t="inlineStr">
        <is>
          <t>Design</t>
        </is>
      </c>
      <c r="T6" s="43" t="n">
        <v>25</v>
      </c>
      <c r="U6" s="43" t="n">
        <v>0.85</v>
      </c>
      <c r="V6" s="43" t="n">
        <v>0</v>
      </c>
      <c r="W6" s="43" t="n">
        <v>1</v>
      </c>
      <c r="X6" s="43" t="n">
        <v>10</v>
      </c>
      <c r="Y6" s="43" t="n">
        <v>6</v>
      </c>
      <c r="Z6" s="43" t="inlineStr">
        <is>
          <t>BW30XHR PRO-440</t>
        </is>
      </c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>
        <v>84</v>
      </c>
      <c r="BC6" s="43" t="inlineStr">
        <is>
          <t>Specify</t>
        </is>
      </c>
      <c r="BD6" s="43" t="n">
        <v>25</v>
      </c>
      <c r="BE6" s="43" t="n">
        <v>1</v>
      </c>
      <c r="BF6" s="43" t="n">
        <v>0</v>
      </c>
      <c r="BG6" s="43" t="n">
        <v>2</v>
      </c>
      <c r="BH6" s="43" t="n">
        <v>4</v>
      </c>
      <c r="BI6" s="43" t="n">
        <v>6</v>
      </c>
      <c r="BJ6" s="43" t="inlineStr">
        <is>
          <t>BW30HR-440</t>
        </is>
      </c>
      <c r="BK6" s="43" t="n"/>
      <c r="BL6" s="43" t="n"/>
      <c r="BM6" s="43" t="n"/>
      <c r="BN6" s="43" t="n">
        <v>2</v>
      </c>
      <c r="BO6" s="43" t="n">
        <v>6</v>
      </c>
      <c r="BP6" s="43" t="inlineStr">
        <is>
          <t>BW30 PRO-400</t>
        </is>
      </c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n"/>
      <c r="CP6" s="43" t="n"/>
      <c r="CQ6" s="43" t="n"/>
      <c r="CR6" s="43" t="n"/>
      <c r="CS6" s="43" t="n"/>
      <c r="CT6" s="44" t="n"/>
    </row>
    <row r="7" ht="15" customHeight="1" s="146">
      <c r="A7" s="45" t="n">
        <v>6</v>
      </c>
      <c r="B7" s="46" t="inlineStr">
        <is>
          <t>TWO_PASS</t>
        </is>
      </c>
      <c r="C7" s="46" t="inlineStr">
        <is>
          <t>Y</t>
        </is>
      </c>
      <c r="D7" s="46" t="inlineStr">
        <is>
          <t>V25_2P_006</t>
        </is>
      </c>
      <c r="E7" s="46" t="inlineStr">
        <is>
          <t>V25_2P_006_2S_2S_Pressures.pdf</t>
        </is>
      </c>
      <c r="F7" s="46" t="inlineStr">
        <is>
          <t>Y</t>
        </is>
      </c>
      <c r="G7" s="46" t="inlineStr">
        <is>
          <t>2 Pass</t>
        </is>
      </c>
      <c r="H7" s="46" t="inlineStr">
        <is>
          <t>experimental</t>
        </is>
      </c>
      <c r="I7" s="46" t="inlineStr">
        <is>
          <t>Stage and pass pressure controls</t>
        </is>
      </c>
      <c r="J7" s="46" t="inlineStr">
        <is>
          <t>Not Started</t>
        </is>
      </c>
      <c r="K7" s="46" t="str"/>
      <c r="L7" s="46" t="inlineStr">
        <is>
          <t>Well Water - Med Hardness</t>
        </is>
      </c>
      <c r="M7" s="46" t="n">
        <v>100</v>
      </c>
      <c r="N7" s="46" t="n">
        <v>10</v>
      </c>
      <c r="O7" s="46" t="n">
        <v>25</v>
      </c>
      <c r="P7" s="46" t="n">
        <v>35</v>
      </c>
      <c r="Q7" s="46" t="n">
        <v>2</v>
      </c>
      <c r="R7" s="46" t="n">
        <v>73</v>
      </c>
      <c r="S7" s="46" t="inlineStr">
        <is>
          <t>Specify</t>
        </is>
      </c>
      <c r="T7" s="46" t="n">
        <v>25</v>
      </c>
      <c r="U7" s="46" t="n">
        <v>0.86</v>
      </c>
      <c r="V7" s="46" t="n">
        <v>0.2</v>
      </c>
      <c r="W7" s="46" t="n">
        <v>2</v>
      </c>
      <c r="X7" s="46" t="n">
        <v>7</v>
      </c>
      <c r="Y7" s="46" t="n">
        <v>6</v>
      </c>
      <c r="Z7" s="46" t="inlineStr">
        <is>
          <t>BW30-400</t>
        </is>
      </c>
      <c r="AA7" s="46" t="n">
        <v>0.1</v>
      </c>
      <c r="AB7" s="46" t="n"/>
      <c r="AC7" s="46" t="n"/>
      <c r="AD7" s="46" t="n">
        <v>3</v>
      </c>
      <c r="AE7" s="46" t="n">
        <v>6</v>
      </c>
      <c r="AF7" s="46" t="inlineStr">
        <is>
          <t>BW30 PRO-400</t>
        </is>
      </c>
      <c r="AG7" s="46" t="n">
        <v>0.3</v>
      </c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>
        <v>83</v>
      </c>
      <c r="BC7" s="46" t="inlineStr">
        <is>
          <t>Specify</t>
        </is>
      </c>
      <c r="BD7" s="46" t="n">
        <v>25</v>
      </c>
      <c r="BE7" s="46" t="n">
        <v>1.02</v>
      </c>
      <c r="BF7" s="46" t="n">
        <v>0.4</v>
      </c>
      <c r="BG7" s="46" t="n">
        <v>2</v>
      </c>
      <c r="BH7" s="46" t="n">
        <v>4</v>
      </c>
      <c r="BI7" s="46" t="n">
        <v>6</v>
      </c>
      <c r="BJ7" s="46" t="inlineStr">
        <is>
          <t>BW30HR-440</t>
        </is>
      </c>
      <c r="BK7" s="46" t="n">
        <v>0.1</v>
      </c>
      <c r="BL7" s="46" t="n"/>
      <c r="BM7" s="46" t="n"/>
      <c r="BN7" s="46" t="n">
        <v>2</v>
      </c>
      <c r="BO7" s="46" t="n">
        <v>6</v>
      </c>
      <c r="BP7" s="46" t="inlineStr">
        <is>
          <t>BW30-400</t>
        </is>
      </c>
      <c r="BQ7" s="46" t="n">
        <v>0.2</v>
      </c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  <c r="CO7" s="46" t="n"/>
      <c r="CP7" s="46" t="n"/>
      <c r="CQ7" s="46" t="n"/>
      <c r="CR7" s="46" t="n"/>
      <c r="CS7" s="46" t="n"/>
      <c r="CT7" s="47" t="n"/>
    </row>
  </sheetData>
  <conditionalFormatting sqref="J2:J7">
    <cfRule type="expression" priority="1" dxfId="0">
      <formula>J2="Passed"</formula>
    </cfRule>
    <cfRule type="expression" priority="2" dxfId="1">
      <formula>J2="Failed"</formula>
    </cfRule>
  </conditionalFormatting>
  <conditionalFormatting sqref="H2:H7">
    <cfRule type="expression" priority="3" dxfId="2">
      <formula>H2="experimental"</formula>
    </cfRule>
  </conditionalFormatting>
  <dataValidations count="17">
    <dataValidation sqref="C2:C7" showDropDown="0" showInputMessage="0" showErrorMessage="0" allowBlank="0" type="list">
      <formula1>"Y,N"</formula1>
    </dataValidation>
    <dataValidation sqref="F2:F7" showDropDown="0" showInputMessage="0" showErrorMessage="0" allowBlank="0" type="list">
      <formula1>"Y,N"</formula1>
    </dataValidation>
    <dataValidation sqref="J2:J7" showDropDown="0" showInputMessage="0" showErrorMessage="0" allowBlank="0" type="list">
      <formula1>"Not Started,Running,Passed,Failed,Skipped"</formula1>
    </dataValidation>
    <dataValidation sqref="S2:S7" showDropDown="0" showInputMessage="0" showErrorMessage="0" allowBlank="0" type="list">
      <formula1>"Minimum,Design,Maximum,Specify"</formula1>
    </dataValidation>
    <dataValidation sqref="AY2:AY7" showDropDown="0" showInputMessage="0" showErrorMessage="0" allowBlank="0" type="list">
      <formula1>"Minimum,Design,Maximum,Specify"</formula1>
    </dataValidation>
    <dataValidation sqref="CL2:CL7" showDropDown="0" showInputMessage="0" showErrorMessage="0" allowBlank="0" type="list">
      <formula1>"Y,N"</formula1>
    </dataValidation>
    <dataValidation sqref="CO2:CO7" showDropDown="0" showInputMessage="0" showErrorMessage="0" allowBlank="0" type="list">
      <formula1>"Y,N"</formula1>
    </dataValidation>
    <dataValidation sqref="CR2:CR7" showDropDown="0" showInputMessage="0" showErrorMessage="0" allowBlank="0" type="list">
      <formula1>"Y,N"</formula1>
    </dataValidation>
    <dataValidation sqref="CM2:CM7" showDropDown="0" showInputMessage="0" showErrorMessage="0" allowBlank="0" type="list">
      <formula1>"HCl (32),H2SO4 (98)"</formula1>
    </dataValidation>
    <dataValidation sqref="CP2:CP7" showDropDown="0" showInputMessage="0" showErrorMessage="0" allowBlank="0" type="list">
      <formula1>"CO2 Removal,CO2 Partial Pressure,CO2 Concentration"</formula1>
    </dataValidation>
    <dataValidation sqref="CS2:CS7" showDropDown="0" showInputMessage="0" showErrorMessage="0" allowBlank="0" type="list">
      <formula1>"NaOH (30),NaOH (50)"</formula1>
    </dataValidation>
    <dataValidation sqref="CU2:CU1000" showDropDown="0" showInputMessage="0" showErrorMessage="0" allowBlank="0" type="list">
      <formula1>"Y,N"</formula1>
    </dataValidation>
    <dataValidation sqref="CX2:CX1000" showDropDown="0" showInputMessage="0" showErrorMessage="0" allowBlank="0" type="list">
      <formula1>"Y,N"</formula1>
    </dataValidation>
    <dataValidation sqref="DE2:DE1000" showDropDown="0" showInputMessage="0" showErrorMessage="0" allowBlank="0" type="list">
      <formula1>"Y,N"</formula1>
    </dataValidation>
    <dataValidation sqref="DH2:DH1000" showDropDown="0" showInputMessage="0" showErrorMessage="0" allowBlank="0" type="list">
      <formula1>"Y,N"</formula1>
    </dataValidation>
    <dataValidation sqref="DA2:DA1000" showDropDown="0" showInputMessage="0" showErrorMessage="0" allowBlank="0" type="list">
      <formula1>"Minimum,Design,Maximum,Specify"</formula1>
    </dataValidation>
    <dataValidation sqref="DC2:DC1000" showDropDown="0" showInputMessage="0" showErrorMessage="0" allowBlank="0" type="list">
      <formula1>"Basic default,Specify,Based on RO config"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9"/>
  <sheetViews>
    <sheetView workbookViewId="0">
      <selection activeCell="A1" sqref="A1"/>
    </sheetView>
  </sheetViews>
  <sheetFormatPr baseColWidth="8" defaultRowHeight="15"/>
  <cols>
    <col width="12" customWidth="1" style="146" min="1" max="1"/>
    <col width="12" customWidth="1" style="146" min="2" max="2"/>
    <col width="12" customWidth="1" style="146" min="3" max="3"/>
    <col width="17" customWidth="1" style="146" min="4" max="4"/>
    <col width="42" customWidth="1" style="146" min="5" max="5"/>
    <col width="17" customWidth="1" style="146" min="6" max="6"/>
    <col width="17" customWidth="1" style="146" min="7" max="7"/>
    <col width="17" customWidth="1" style="146" min="8" max="8"/>
    <col width="35" customWidth="1" style="146" min="9" max="9"/>
    <col width="16" customWidth="1" style="146" min="10" max="10"/>
    <col width="40" customWidth="1" style="146" min="11" max="11"/>
    <col width="30" customWidth="1" style="146" min="12" max="12"/>
    <col width="16" customWidth="1" style="146" min="13" max="13"/>
    <col width="16" customWidth="1" style="146" min="14" max="14"/>
    <col width="16" customWidth="1" style="146" min="15" max="15"/>
    <col width="16" customWidth="1" style="146" min="16" max="16"/>
    <col width="16" customWidth="1" style="146" min="17" max="17"/>
    <col width="16" customWidth="1" style="146" min="18" max="18"/>
    <col width="16" customWidth="1" style="146" min="19" max="19"/>
    <col width="16" customWidth="1" style="146" min="20" max="20"/>
    <col width="16" customWidth="1" style="146" min="21" max="21"/>
    <col width="16" customWidth="1" style="146" min="22" max="22"/>
    <col width="16" customWidth="1" style="146" min="23" max="23"/>
    <col width="16" customWidth="1" style="146" min="24" max="24"/>
    <col width="16" customWidth="1" style="146" min="25" max="25"/>
    <col width="16" customWidth="1" style="146" min="26" max="26"/>
    <col width="16" customWidth="1" style="146" min="27" max="27"/>
    <col width="16" customWidth="1" style="146" min="28" max="28"/>
    <col width="16" customWidth="1" style="146" min="29" max="29"/>
    <col width="16" customWidth="1" style="146" min="30" max="30"/>
    <col width="16" customWidth="1" style="146" min="31" max="31"/>
    <col width="16" customWidth="1" style="146" min="32" max="32"/>
    <col width="16" customWidth="1" style="146" min="33" max="33"/>
    <col width="16" customWidth="1" style="146" min="34" max="34"/>
    <col width="16" customWidth="1" style="146" min="35" max="35"/>
    <col width="16" customWidth="1" style="146" min="36" max="36"/>
    <col width="16" customWidth="1" style="146" min="37" max="37"/>
    <col width="16" customWidth="1" style="146" min="38" max="38"/>
    <col width="16" customWidth="1" style="146" min="39" max="39"/>
    <col width="16" customWidth="1" style="146" min="40" max="40"/>
    <col width="16" customWidth="1" style="146" min="41" max="41"/>
    <col width="16" customWidth="1" style="146" min="42" max="42"/>
    <col width="16" customWidth="1" style="146" min="43" max="43"/>
    <col width="16" customWidth="1" style="146" min="44" max="44"/>
    <col width="16" customWidth="1" style="146" min="45" max="45"/>
    <col width="16" customWidth="1" style="146" min="46" max="46"/>
    <col width="16" customWidth="1" style="146" min="47" max="47"/>
    <col width="16" customWidth="1" style="146" min="48" max="48"/>
    <col width="16" customWidth="1" style="146" min="49" max="49"/>
    <col width="16" customWidth="1" style="146" min="50" max="50"/>
    <col width="16" customWidth="1" style="146" min="51" max="51"/>
    <col width="16" customWidth="1" style="146" min="52" max="52"/>
    <col width="16" customWidth="1" style="146" min="53" max="53"/>
    <col width="16" customWidth="1" style="146" min="54" max="54"/>
    <col width="16" customWidth="1" style="146" min="55" max="55"/>
    <col width="16" customWidth="1" style="146" min="56" max="56"/>
    <col width="16" customWidth="1" style="146" min="57" max="57"/>
    <col width="16" customWidth="1" style="146" min="58" max="58"/>
    <col width="16" customWidth="1" style="146" min="59" max="59"/>
    <col width="16" customWidth="1" style="146" min="60" max="60"/>
    <col width="16" customWidth="1" style="146" min="61" max="61"/>
    <col width="16" customWidth="1" style="146" min="62" max="62"/>
    <col width="16" customWidth="1" style="146" min="63" max="63"/>
    <col width="16" customWidth="1" style="146" min="64" max="64"/>
    <col width="16" customWidth="1" style="146" min="65" max="65"/>
    <col width="16" customWidth="1" style="146" min="66" max="66"/>
    <col width="16" customWidth="1" style="146" min="67" max="67"/>
    <col width="16" customWidth="1" style="146" min="68" max="68"/>
    <col width="16" customWidth="1" style="146" min="69" max="69"/>
    <col width="16" customWidth="1" style="146" min="70" max="70"/>
    <col width="16" customWidth="1" style="146" min="71" max="71"/>
    <col width="16" customWidth="1" style="146" min="72" max="72"/>
    <col width="16" customWidth="1" style="146" min="73" max="73"/>
    <col width="16" customWidth="1" style="146" min="74" max="74"/>
    <col width="16" customWidth="1" style="146" min="75" max="75"/>
    <col width="16" customWidth="1" style="146" min="76" max="76"/>
    <col width="16" customWidth="1" style="146" min="77" max="77"/>
    <col width="16" customWidth="1" style="146" min="78" max="78"/>
    <col width="16" customWidth="1" style="146" min="79" max="79"/>
    <col width="16" customWidth="1" style="146" min="80" max="80"/>
    <col width="16" customWidth="1" style="146" min="81" max="81"/>
    <col width="16" customWidth="1" style="146" min="82" max="82"/>
    <col width="16" customWidth="1" style="146" min="83" max="83"/>
    <col width="16" customWidth="1" style="146" min="84" max="84"/>
    <col width="16" customWidth="1" style="146" min="85" max="85"/>
    <col width="16" customWidth="1" style="146" min="86" max="86"/>
    <col width="16" customWidth="1" style="146" min="87" max="87"/>
    <col width="16" customWidth="1" style="146" min="88" max="88"/>
    <col width="16" customWidth="1" style="146" min="89" max="89"/>
    <col width="16" customWidth="1" style="146" min="90" max="90"/>
    <col width="16" customWidth="1" style="146" min="91" max="91"/>
    <col width="16" customWidth="1" style="146" min="92" max="92"/>
    <col width="16" customWidth="1" style="146" min="93" max="93"/>
    <col width="16" customWidth="1" style="146" min="94" max="94"/>
    <col width="16" customWidth="1" style="146" min="95" max="95"/>
    <col width="16" customWidth="1" style="146" min="96" max="96"/>
    <col width="16" customWidth="1" style="146" min="97" max="97"/>
    <col width="16" customWidth="1" style="146" min="98" max="98"/>
    <col width="17" customWidth="1" style="146" min="99" max="99"/>
    <col width="28" customWidth="1" style="146" min="100" max="100"/>
    <col width="20" customWidth="1" style="146" min="101" max="101"/>
    <col width="17" customWidth="1" style="146" min="102" max="102"/>
    <col width="28" customWidth="1" style="146" min="103" max="103"/>
    <col width="20" customWidth="1" style="146" min="104" max="104"/>
    <col width="24" customWidth="1" style="146" min="105" max="105"/>
    <col width="20" customWidth="1" style="146" min="106" max="106"/>
    <col width="24" customWidth="1" style="146" min="107" max="107"/>
    <col width="20" customWidth="1" style="146" min="108" max="108"/>
    <col width="17" customWidth="1" style="146" min="109" max="109"/>
    <col width="28" customWidth="1" style="146" min="110" max="110"/>
    <col width="20" customWidth="1" style="146" min="111" max="111"/>
    <col width="17" customWidth="1" style="146" min="112" max="112"/>
    <col width="20" customWidth="1" style="146" min="113" max="113"/>
  </cols>
  <sheetData>
    <row r="1" ht="34" customHeight="1" s="146">
      <c r="A1" s="12" t="inlineStr">
        <is>
          <t>Batch_Order</t>
        </is>
      </c>
      <c r="B1" s="13" t="inlineStr">
        <is>
          <t>Batch_Group</t>
        </is>
      </c>
      <c r="C1" s="13" t="inlineStr">
        <is>
          <t>Run_Enabled</t>
        </is>
      </c>
      <c r="D1" s="13" t="inlineStr">
        <is>
          <t>Case_ID</t>
        </is>
      </c>
      <c r="E1" s="13" t="inlineStr">
        <is>
          <t>Recommended_PDF_Name</t>
        </is>
      </c>
      <c r="F1" s="13" t="inlineStr">
        <is>
          <t>Fresh_Project_Required</t>
        </is>
      </c>
      <c r="G1" s="13" t="inlineStr">
        <is>
          <t>Test_Lane</t>
        </is>
      </c>
      <c r="H1" s="13" t="inlineStr">
        <is>
          <t>Expected_Tier</t>
        </is>
      </c>
      <c r="I1" s="13" t="inlineStr">
        <is>
          <t>Test_Purpose</t>
        </is>
      </c>
      <c r="J1" s="13" t="inlineStr">
        <is>
          <t>Run_Status</t>
        </is>
      </c>
      <c r="K1" s="13" t="inlineStr">
        <is>
          <t>Notes</t>
        </is>
      </c>
      <c r="L1" s="13" t="inlineStr">
        <is>
          <t>WAVE_Library_Selection</t>
        </is>
      </c>
      <c r="M1" s="13" t="inlineStr">
        <is>
          <t>Feed_Flow_m3h</t>
        </is>
      </c>
      <c r="N1" s="13" t="inlineStr">
        <is>
          <t>Temperature_Min_C</t>
        </is>
      </c>
      <c r="O1" s="13" t="inlineStr">
        <is>
          <t>Temperature_Design_C</t>
        </is>
      </c>
      <c r="P1" s="13" t="inlineStr">
        <is>
          <t>Temperature_Max_C</t>
        </is>
      </c>
      <c r="Q1" s="13" t="inlineStr">
        <is>
          <t>Pass_Count</t>
        </is>
      </c>
      <c r="R1" s="13" t="inlineStr">
        <is>
          <t>Pass1_Recovery_pct</t>
        </is>
      </c>
      <c r="S1" s="13" t="inlineStr">
        <is>
          <t>Pass1_Temperature_Mode</t>
        </is>
      </c>
      <c r="T1" s="13" t="inlineStr">
        <is>
          <t>Pass1_Temperature_C</t>
        </is>
      </c>
      <c r="U1" s="13" t="inlineStr">
        <is>
          <t>Pass1_Flow_Factor</t>
        </is>
      </c>
      <c r="V1" s="13" t="inlineStr">
        <is>
          <t>Pass1_Permeate_Back_Pressure_bar</t>
        </is>
      </c>
      <c r="W1" s="13" t="inlineStr">
        <is>
          <t>Pass1_Stage_Count</t>
        </is>
      </c>
      <c r="X1" s="13" t="inlineStr">
        <is>
          <t>P1S1_PV</t>
        </is>
      </c>
      <c r="Y1" s="13" t="inlineStr">
        <is>
          <t>P1S1_Elements_per_PV</t>
        </is>
      </c>
      <c r="Z1" s="13" t="inlineStr">
        <is>
          <t>P1S1_Membrane</t>
        </is>
      </c>
      <c r="AA1" s="13" t="inlineStr">
        <is>
          <t>P1S1_Stage_Back_Pressure_bar</t>
        </is>
      </c>
      <c r="AB1" s="13" t="inlineStr">
        <is>
          <t>P1S1_Boost_Pressure_bar</t>
        </is>
      </c>
      <c r="AC1" s="13" t="inlineStr">
        <is>
          <t>P1S1_Flow_Factor</t>
        </is>
      </c>
      <c r="AD1" s="13" t="inlineStr">
        <is>
          <t>P1S2_PV</t>
        </is>
      </c>
      <c r="AE1" s="13" t="inlineStr">
        <is>
          <t>P1S2_Elements_per_PV</t>
        </is>
      </c>
      <c r="AF1" s="13" t="inlineStr">
        <is>
          <t>P1S2_Membrane</t>
        </is>
      </c>
      <c r="AG1" s="13" t="inlineStr">
        <is>
          <t>P1S2_Stage_Back_Pressure_bar</t>
        </is>
      </c>
      <c r="AH1" s="13" t="inlineStr">
        <is>
          <t>P1S2_Boost_Pressure_bar</t>
        </is>
      </c>
      <c r="AI1" s="13" t="inlineStr">
        <is>
          <t>P1S2_Flow_Factor</t>
        </is>
      </c>
      <c r="AJ1" s="13" t="inlineStr">
        <is>
          <t>P1S3_PV</t>
        </is>
      </c>
      <c r="AK1" s="13" t="inlineStr">
        <is>
          <t>P1S3_Elements_per_PV</t>
        </is>
      </c>
      <c r="AL1" s="13" t="inlineStr">
        <is>
          <t>P1S3_Membrane</t>
        </is>
      </c>
      <c r="AM1" s="13" t="inlineStr">
        <is>
          <t>P1S3_Stage_Back_Pressure_bar</t>
        </is>
      </c>
      <c r="AN1" s="13" t="inlineStr">
        <is>
          <t>P1S3_Boost_Pressure_bar</t>
        </is>
      </c>
      <c r="AO1" s="13" t="inlineStr">
        <is>
          <t>P1S3_Flow_Factor</t>
        </is>
      </c>
      <c r="AP1" s="13" t="inlineStr">
        <is>
          <t>P1S4_PV</t>
        </is>
      </c>
      <c r="AQ1" s="13" t="inlineStr">
        <is>
          <t>P1S4_Elements_per_PV</t>
        </is>
      </c>
      <c r="AR1" s="13" t="inlineStr">
        <is>
          <t>P1S4_Membrane</t>
        </is>
      </c>
      <c r="AS1" s="13" t="inlineStr">
        <is>
          <t>P1S4_Stage_Back_Pressure_bar</t>
        </is>
      </c>
      <c r="AT1" s="13" t="inlineStr">
        <is>
          <t>P1S4_Boost_Pressure_bar</t>
        </is>
      </c>
      <c r="AU1" s="13" t="inlineStr">
        <is>
          <t>P1S4_Flow_Factor</t>
        </is>
      </c>
      <c r="AV1" s="13" t="inlineStr">
        <is>
          <t>P1S5_PV</t>
        </is>
      </c>
      <c r="AW1" s="13" t="inlineStr">
        <is>
          <t>P1S5_Elements_per_PV</t>
        </is>
      </c>
      <c r="AX1" s="13" t="inlineStr">
        <is>
          <t>P1S5_Membrane</t>
        </is>
      </c>
      <c r="AY1" s="13" t="inlineStr">
        <is>
          <t>P1S5_Stage_Back_Pressure_bar</t>
        </is>
      </c>
      <c r="AZ1" s="13" t="inlineStr">
        <is>
          <t>P1S5_Boost_Pressure_bar</t>
        </is>
      </c>
      <c r="BA1" s="13" t="inlineStr">
        <is>
          <t>P1S5_Flow_Factor</t>
        </is>
      </c>
      <c r="BB1" s="13" t="inlineStr">
        <is>
          <t>Pass2_Recovery_pct</t>
        </is>
      </c>
      <c r="BC1" s="13" t="inlineStr">
        <is>
          <t>Pass2_Temperature_Mode</t>
        </is>
      </c>
      <c r="BD1" s="13" t="inlineStr">
        <is>
          <t>Pass2_Temperature_C</t>
        </is>
      </c>
      <c r="BE1" s="13" t="inlineStr">
        <is>
          <t>Pass2_Flow_Factor</t>
        </is>
      </c>
      <c r="BF1" s="13" t="inlineStr">
        <is>
          <t>Pass2_Permeate_Back_Pressure_bar</t>
        </is>
      </c>
      <c r="BG1" s="13" t="inlineStr">
        <is>
          <t>Pass2_Stage_Count</t>
        </is>
      </c>
      <c r="BH1" s="13" t="inlineStr">
        <is>
          <t>P2S1_PV</t>
        </is>
      </c>
      <c r="BI1" s="13" t="inlineStr">
        <is>
          <t>P2S1_Elements_per_PV</t>
        </is>
      </c>
      <c r="BJ1" s="13" t="inlineStr">
        <is>
          <t>P2S1_Membrane</t>
        </is>
      </c>
      <c r="BK1" s="13" t="inlineStr">
        <is>
          <t>P2S1_Stage_Back_Pressure_bar</t>
        </is>
      </c>
      <c r="BL1" s="13" t="inlineStr">
        <is>
          <t>P2S1_Boost_Pressure_bar</t>
        </is>
      </c>
      <c r="BM1" s="13" t="inlineStr">
        <is>
          <t>P2S1_Flow_Factor</t>
        </is>
      </c>
      <c r="BN1" s="13" t="inlineStr">
        <is>
          <t>P2S2_PV</t>
        </is>
      </c>
      <c r="BO1" s="13" t="inlineStr">
        <is>
          <t>P2S2_Elements_per_PV</t>
        </is>
      </c>
      <c r="BP1" s="13" t="inlineStr">
        <is>
          <t>P2S2_Membrane</t>
        </is>
      </c>
      <c r="BQ1" s="13" t="inlineStr">
        <is>
          <t>P2S2_Stage_Back_Pressure_bar</t>
        </is>
      </c>
      <c r="BR1" s="13" t="inlineStr">
        <is>
          <t>P2S2_Boost_Pressure_bar</t>
        </is>
      </c>
      <c r="BS1" s="13" t="inlineStr">
        <is>
          <t>P2S2_Flow_Factor</t>
        </is>
      </c>
      <c r="BT1" s="13" t="inlineStr">
        <is>
          <t>P2S3_PV</t>
        </is>
      </c>
      <c r="BU1" s="13" t="inlineStr">
        <is>
          <t>P2S3_Elements_per_PV</t>
        </is>
      </c>
      <c r="BV1" s="13" t="inlineStr">
        <is>
          <t>P2S3_Membrane</t>
        </is>
      </c>
      <c r="BW1" s="13" t="inlineStr">
        <is>
          <t>P2S3_Stage_Back_Pressure_bar</t>
        </is>
      </c>
      <c r="BX1" s="13" t="inlineStr">
        <is>
          <t>P2S3_Boost_Pressure_bar</t>
        </is>
      </c>
      <c r="BY1" s="13" t="inlineStr">
        <is>
          <t>P2S3_Flow_Factor</t>
        </is>
      </c>
      <c r="BZ1" s="13" t="inlineStr">
        <is>
          <t>P2S4_PV</t>
        </is>
      </c>
      <c r="CA1" s="13" t="inlineStr">
        <is>
          <t>P2S4_Elements_per_PV</t>
        </is>
      </c>
      <c r="CB1" s="13" t="inlineStr">
        <is>
          <t>P2S4_Membrane</t>
        </is>
      </c>
      <c r="CC1" s="13" t="inlineStr">
        <is>
          <t>P2S4_Stage_Back_Pressure_bar</t>
        </is>
      </c>
      <c r="CD1" s="13" t="inlineStr">
        <is>
          <t>P2S4_Boost_Pressure_bar</t>
        </is>
      </c>
      <c r="CE1" s="13" t="inlineStr">
        <is>
          <t>P2S4_Flow_Factor</t>
        </is>
      </c>
      <c r="CF1" s="13" t="inlineStr">
        <is>
          <t>P2S5_PV</t>
        </is>
      </c>
      <c r="CG1" s="13" t="inlineStr">
        <is>
          <t>P2S5_Elements_per_PV</t>
        </is>
      </c>
      <c r="CH1" s="13" t="inlineStr">
        <is>
          <t>P2S5_Membrane</t>
        </is>
      </c>
      <c r="CI1" s="13" t="inlineStr">
        <is>
          <t>P2S5_Stage_Back_Pressure_bar</t>
        </is>
      </c>
      <c r="CJ1" s="13" t="inlineStr">
        <is>
          <t>P2S5_Boost_Pressure_bar</t>
        </is>
      </c>
      <c r="CK1" s="13" t="inlineStr">
        <is>
          <t>P2S5_Flow_Factor</t>
        </is>
      </c>
      <c r="CL1" s="13" t="inlineStr">
        <is>
          <t>Acid_Enabled</t>
        </is>
      </c>
      <c r="CM1" s="13" t="inlineStr">
        <is>
          <t>Acid_Type</t>
        </is>
      </c>
      <c r="CN1" s="13" t="inlineStr">
        <is>
          <t>Acid_Target_pH</t>
        </is>
      </c>
      <c r="CO1" s="13" t="inlineStr">
        <is>
          <t>Degas_Enabled</t>
        </is>
      </c>
      <c r="CP1" s="13" t="inlineStr">
        <is>
          <t>Degas_Mode</t>
        </is>
      </c>
      <c r="CQ1" s="13" t="inlineStr">
        <is>
          <t>Degas_Value</t>
        </is>
      </c>
      <c r="CR1" s="13" t="inlineStr">
        <is>
          <t>Base_Enabled</t>
        </is>
      </c>
      <c r="CS1" s="13" t="inlineStr">
        <is>
          <t>Base_Type</t>
        </is>
      </c>
      <c r="CT1" s="14" t="inlineStr">
        <is>
          <t>Base_Target_pH</t>
        </is>
      </c>
      <c r="CU1" s="160" t="inlineStr">
        <is>
          <t>Antiscalant_Enabled</t>
        </is>
      </c>
      <c r="CV1" s="160" t="inlineStr">
        <is>
          <t>Antiscalant_Type</t>
        </is>
      </c>
      <c r="CW1" s="160" t="inlineStr">
        <is>
          <t>Antiscalant_Dose_mgL</t>
        </is>
      </c>
      <c r="CX1" s="160" t="inlineStr">
        <is>
          <t>Dechlorinator_Enabled</t>
        </is>
      </c>
      <c r="CY1" s="160" t="inlineStr">
        <is>
          <t>Dechlorinator_Type</t>
        </is>
      </c>
      <c r="CZ1" s="160" t="inlineStr">
        <is>
          <t>Dechlorinator_Dose_mgL</t>
        </is>
      </c>
      <c r="DA1" s="160" t="inlineStr">
        <is>
          <t>Chemical_Temperature_Mode</t>
        </is>
      </c>
      <c r="DB1" s="160" t="inlineStr">
        <is>
          <t>Chemical_Temperature_C</t>
        </is>
      </c>
      <c r="DC1" s="160" t="inlineStr">
        <is>
          <t>Chemical_Recovery_Mode</t>
        </is>
      </c>
      <c r="DD1" s="160" t="inlineStr">
        <is>
          <t>Chemical_Recovery_pct</t>
        </is>
      </c>
      <c r="DE1" s="160" t="inlineStr">
        <is>
          <t>Compaction_Enabled</t>
        </is>
      </c>
      <c r="DF1" s="160" t="inlineStr">
        <is>
          <t>Compaction_Mode</t>
        </is>
      </c>
      <c r="DG1" s="160" t="inlineStr">
        <is>
          <t>Compaction_Value</t>
        </is>
      </c>
      <c r="DH1" s="160" t="inlineStr">
        <is>
          <t>RO_TOC_Rejection_Enabled</t>
        </is>
      </c>
      <c r="DI1" s="160" t="inlineStr">
        <is>
          <t>RO_TOC_Rejection_pct</t>
        </is>
      </c>
    </row>
    <row r="2" ht="26.39999961853027" customHeight="1" s="146">
      <c r="A2" s="42" t="n">
        <v>1</v>
      </c>
      <c r="B2" s="43" t="inlineStr">
        <is>
          <t>MIXED_MEMBRANE</t>
        </is>
      </c>
      <c r="C2" s="43" t="inlineStr">
        <is>
          <t>Y</t>
        </is>
      </c>
      <c r="D2" s="43" t="inlineStr">
        <is>
          <t>V25_MM_001</t>
        </is>
      </c>
      <c r="E2" s="43" t="inlineStr">
        <is>
          <t>V25_MM_001_2Stage_BW30_Pro.pdf</t>
        </is>
      </c>
      <c r="F2" s="43" t="inlineStr">
        <is>
          <t>Y</t>
        </is>
      </c>
      <c r="G2" s="43" t="inlineStr">
        <is>
          <t>mixed membrane</t>
        </is>
      </c>
      <c r="H2" s="43" t="inlineStr">
        <is>
          <t>new</t>
        </is>
      </c>
      <c r="I2" s="43" t="inlineStr">
        <is>
          <t>Exact membrane selection and stage-specific PDF validation</t>
        </is>
      </c>
      <c r="J2" s="43" t="inlineStr">
        <is>
          <t>Not Started</t>
        </is>
      </c>
      <c r="K2" s="43" t="str"/>
      <c r="L2" s="43" t="inlineStr">
        <is>
          <t>Well Water - Med Hardness</t>
        </is>
      </c>
      <c r="M2" s="43" t="n">
        <v>100</v>
      </c>
      <c r="N2" s="43" t="n">
        <v>10</v>
      </c>
      <c r="O2" s="43" t="n">
        <v>25</v>
      </c>
      <c r="P2" s="43" t="n">
        <v>35</v>
      </c>
      <c r="Q2" s="43" t="n">
        <v>1</v>
      </c>
      <c r="R2" s="43" t="n">
        <v>75</v>
      </c>
      <c r="S2" s="43" t="inlineStr">
        <is>
          <t>Specify</t>
        </is>
      </c>
      <c r="T2" s="43" t="n">
        <v>25</v>
      </c>
      <c r="U2" s="43" t="n">
        <v>0.85</v>
      </c>
      <c r="V2" s="43" t="n">
        <v>0</v>
      </c>
      <c r="W2" s="43" t="n">
        <v>2</v>
      </c>
      <c r="X2" s="43" t="n">
        <v>7</v>
      </c>
      <c r="Y2" s="43" t="n">
        <v>6</v>
      </c>
      <c r="Z2" s="43" t="inlineStr">
        <is>
          <t>BW30-400</t>
        </is>
      </c>
      <c r="AA2" s="43" t="n"/>
      <c r="AB2" s="43" t="n"/>
      <c r="AC2" s="43" t="n"/>
      <c r="AD2" s="43" t="n">
        <v>3</v>
      </c>
      <c r="AE2" s="43" t="n">
        <v>6</v>
      </c>
      <c r="AF2" s="43" t="inlineStr">
        <is>
          <t>BW30 PRO-400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/>
      <c r="BC2" s="43" t="n"/>
      <c r="BD2" s="43" t="n"/>
      <c r="BE2" s="43" t="n"/>
      <c r="BF2" s="43" t="n"/>
      <c r="BG2" s="43" t="n"/>
      <c r="BH2" s="43" t="n"/>
      <c r="BI2" s="43" t="n"/>
      <c r="BJ2" s="43" t="n"/>
      <c r="BK2" s="43" t="n"/>
      <c r="BL2" s="43" t="n"/>
      <c r="BM2" s="43" t="n"/>
      <c r="BN2" s="43" t="n"/>
      <c r="BO2" s="43" t="n"/>
      <c r="BP2" s="43" t="n"/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  <c r="CO2" s="43" t="n"/>
      <c r="CP2" s="43" t="n"/>
      <c r="CQ2" s="43" t="n"/>
      <c r="CR2" s="43" t="n"/>
      <c r="CS2" s="43" t="n"/>
      <c r="CT2" s="44" t="n"/>
    </row>
    <row r="3" ht="26.39999961853027" customHeight="1" s="146">
      <c r="A3" s="42" t="n">
        <v>2</v>
      </c>
      <c r="B3" s="43" t="inlineStr">
        <is>
          <t>MIXED_MEMBRANE</t>
        </is>
      </c>
      <c r="C3" s="43" t="inlineStr">
        <is>
          <t>Y</t>
        </is>
      </c>
      <c r="D3" s="43" t="inlineStr">
        <is>
          <t>V25_MM_002</t>
        </is>
      </c>
      <c r="E3" s="43" t="inlineStr">
        <is>
          <t>V25_MM_002_3Stage_XHR_HR_BW30.pdf</t>
        </is>
      </c>
      <c r="F3" s="43" t="inlineStr">
        <is>
          <t>Y</t>
        </is>
      </c>
      <c r="G3" s="43" t="inlineStr">
        <is>
          <t>mixed membrane</t>
        </is>
      </c>
      <c r="H3" s="43" t="inlineStr">
        <is>
          <t>new</t>
        </is>
      </c>
      <c r="I3" s="43" t="inlineStr">
        <is>
          <t>Exact membrane selection and stage-specific PDF validation</t>
        </is>
      </c>
      <c r="J3" s="43" t="inlineStr">
        <is>
          <t>Not Started</t>
        </is>
      </c>
      <c r="K3" s="43" t="str"/>
      <c r="L3" s="43" t="inlineStr">
        <is>
          <t>Well Water - High Hardness</t>
        </is>
      </c>
      <c r="M3" s="43" t="n">
        <v>100</v>
      </c>
      <c r="N3" s="43" t="n">
        <v>10</v>
      </c>
      <c r="O3" s="43" t="n">
        <v>25</v>
      </c>
      <c r="P3" s="43" t="n">
        <v>35</v>
      </c>
      <c r="Q3" s="43" t="n">
        <v>1</v>
      </c>
      <c r="R3" s="43" t="n">
        <v>75</v>
      </c>
      <c r="S3" s="43" t="inlineStr">
        <is>
          <t>Specify</t>
        </is>
      </c>
      <c r="T3" s="43" t="n">
        <v>25</v>
      </c>
      <c r="U3" s="43" t="n">
        <v>0.85</v>
      </c>
      <c r="V3" s="43" t="n">
        <v>0</v>
      </c>
      <c r="W3" s="43" t="n">
        <v>3</v>
      </c>
      <c r="X3" s="43" t="n">
        <v>6</v>
      </c>
      <c r="Y3" s="43" t="n">
        <v>6</v>
      </c>
      <c r="Z3" s="43" t="inlineStr">
        <is>
          <t>BW30XHR PRO-440</t>
        </is>
      </c>
      <c r="AA3" s="43" t="n"/>
      <c r="AB3" s="43" t="n"/>
      <c r="AC3" s="43" t="n"/>
      <c r="AD3" s="43" t="n">
        <v>3</v>
      </c>
      <c r="AE3" s="43" t="n">
        <v>6</v>
      </c>
      <c r="AF3" s="43" t="inlineStr">
        <is>
          <t>BW30HR-440</t>
        </is>
      </c>
      <c r="AG3" s="43" t="n"/>
      <c r="AH3" s="43" t="n"/>
      <c r="AI3" s="43" t="n"/>
      <c r="AJ3" s="43" t="n">
        <v>1</v>
      </c>
      <c r="AK3" s="43" t="n">
        <v>6</v>
      </c>
      <c r="AL3" s="43" t="inlineStr">
        <is>
          <t>BW30-400</t>
        </is>
      </c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4" t="n"/>
    </row>
    <row r="4" ht="26.39999961853027" customHeight="1" s="146">
      <c r="A4" s="42" t="n">
        <v>3</v>
      </c>
      <c r="B4" s="43" t="inlineStr">
        <is>
          <t>MIXED_MEMBRANE</t>
        </is>
      </c>
      <c r="C4" s="43" t="inlineStr">
        <is>
          <t>Y</t>
        </is>
      </c>
      <c r="D4" s="43" t="inlineStr">
        <is>
          <t>V25_MM_003</t>
        </is>
      </c>
      <c r="E4" s="43" t="inlineStr">
        <is>
          <t>V25_MM_003_3Stage_XFRLE_BW30_Pro.pdf</t>
        </is>
      </c>
      <c r="F4" s="43" t="inlineStr">
        <is>
          <t>Y</t>
        </is>
      </c>
      <c r="G4" s="43" t="inlineStr">
        <is>
          <t>mixed membrane</t>
        </is>
      </c>
      <c r="H4" s="43" t="inlineStr">
        <is>
          <t>new</t>
        </is>
      </c>
      <c r="I4" s="43" t="inlineStr">
        <is>
          <t>Exact membrane selection and stage-specific PDF validation</t>
        </is>
      </c>
      <c r="J4" s="43" t="inlineStr">
        <is>
          <t>Not Started</t>
        </is>
      </c>
      <c r="K4" s="43" t="str"/>
      <c r="L4" s="43" t="inlineStr">
        <is>
          <t>Well Water - Low TDS</t>
        </is>
      </c>
      <c r="M4" s="43" t="n">
        <v>100</v>
      </c>
      <c r="N4" s="43" t="n">
        <v>10</v>
      </c>
      <c r="O4" s="43" t="n">
        <v>25</v>
      </c>
      <c r="P4" s="43" t="n">
        <v>35</v>
      </c>
      <c r="Q4" s="43" t="n">
        <v>1</v>
      </c>
      <c r="R4" s="43" t="n">
        <v>75</v>
      </c>
      <c r="S4" s="43" t="inlineStr">
        <is>
          <t>Specify</t>
        </is>
      </c>
      <c r="T4" s="43" t="n">
        <v>25</v>
      </c>
      <c r="U4" s="43" t="n">
        <v>0.85</v>
      </c>
      <c r="V4" s="43" t="n">
        <v>0</v>
      </c>
      <c r="W4" s="43" t="n">
        <v>3</v>
      </c>
      <c r="X4" s="43" t="n">
        <v>6</v>
      </c>
      <c r="Y4" s="43" t="n">
        <v>6</v>
      </c>
      <c r="Z4" s="43" t="inlineStr">
        <is>
          <t>BW30XFRLE-400/34</t>
        </is>
      </c>
      <c r="AA4" s="43" t="n"/>
      <c r="AB4" s="43" t="n"/>
      <c r="AC4" s="43" t="n"/>
      <c r="AD4" s="43" t="n">
        <v>3</v>
      </c>
      <c r="AE4" s="43" t="n">
        <v>6</v>
      </c>
      <c r="AF4" s="43" t="inlineStr">
        <is>
          <t>BW30-400</t>
        </is>
      </c>
      <c r="AG4" s="43" t="n"/>
      <c r="AH4" s="43" t="n"/>
      <c r="AI4" s="43" t="n"/>
      <c r="AJ4" s="43" t="n">
        <v>1</v>
      </c>
      <c r="AK4" s="43" t="n">
        <v>6</v>
      </c>
      <c r="AL4" s="43" t="inlineStr">
        <is>
          <t>BW30 PRO-400</t>
        </is>
      </c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4" t="n"/>
    </row>
    <row r="5" ht="26.39999961853027" customHeight="1" s="146">
      <c r="A5" s="42" t="n">
        <v>4</v>
      </c>
      <c r="B5" s="43" t="inlineStr">
        <is>
          <t>MIXED_MEMBRANE</t>
        </is>
      </c>
      <c r="C5" s="43" t="inlineStr">
        <is>
          <t>Y</t>
        </is>
      </c>
      <c r="D5" s="43" t="inlineStr">
        <is>
          <t>V25_MM_004</t>
        </is>
      </c>
      <c r="E5" s="43" t="inlineStr">
        <is>
          <t>V25_MM_004_4Stage_365_Family.pdf</t>
        </is>
      </c>
      <c r="F5" s="43" t="inlineStr">
        <is>
          <t>Y</t>
        </is>
      </c>
      <c r="G5" s="43" t="inlineStr">
        <is>
          <t>mixed membrane</t>
        </is>
      </c>
      <c r="H5" s="43" t="inlineStr">
        <is>
          <t>new</t>
        </is>
      </c>
      <c r="I5" s="43" t="inlineStr">
        <is>
          <t>Exact membrane selection and stage-specific PDF validation</t>
        </is>
      </c>
      <c r="J5" s="43" t="inlineStr">
        <is>
          <t>Not Started</t>
        </is>
      </c>
      <c r="K5" s="43" t="str"/>
      <c r="L5" s="43" t="inlineStr">
        <is>
          <t>Well Water - Low Hardness</t>
        </is>
      </c>
      <c r="M5" s="43" t="n">
        <v>90</v>
      </c>
      <c r="N5" s="43" t="n">
        <v>10</v>
      </c>
      <c r="O5" s="43" t="n">
        <v>25</v>
      </c>
      <c r="P5" s="43" t="n">
        <v>35</v>
      </c>
      <c r="Q5" s="43" t="n">
        <v>1</v>
      </c>
      <c r="R5" s="43" t="n">
        <v>75</v>
      </c>
      <c r="S5" s="43" t="inlineStr">
        <is>
          <t>Specify</t>
        </is>
      </c>
      <c r="T5" s="43" t="n">
        <v>25</v>
      </c>
      <c r="U5" s="43" t="n">
        <v>0.85</v>
      </c>
      <c r="V5" s="43" t="n">
        <v>0</v>
      </c>
      <c r="W5" s="43" t="n">
        <v>4</v>
      </c>
      <c r="X5" s="43" t="n">
        <v>6</v>
      </c>
      <c r="Y5" s="43" t="n">
        <v>6</v>
      </c>
      <c r="Z5" s="43" t="inlineStr">
        <is>
          <t>BW30-365</t>
        </is>
      </c>
      <c r="AA5" s="43" t="n"/>
      <c r="AB5" s="43" t="n"/>
      <c r="AC5" s="43" t="n"/>
      <c r="AD5" s="43" t="n">
        <v>3</v>
      </c>
      <c r="AE5" s="43" t="n">
        <v>6</v>
      </c>
      <c r="AF5" s="43" t="inlineStr">
        <is>
          <t>BW30 PRO-365</t>
        </is>
      </c>
      <c r="AG5" s="43" t="n"/>
      <c r="AH5" s="43" t="n"/>
      <c r="AI5" s="43" t="n"/>
      <c r="AJ5" s="43" t="n">
        <v>2</v>
      </c>
      <c r="AK5" s="43" t="n">
        <v>6</v>
      </c>
      <c r="AL5" s="43" t="inlineStr">
        <is>
          <t>BW30-400</t>
        </is>
      </c>
      <c r="AM5" s="43" t="n"/>
      <c r="AN5" s="43" t="n"/>
      <c r="AO5" s="43" t="n"/>
      <c r="AP5" s="43" t="n">
        <v>1</v>
      </c>
      <c r="AQ5" s="43" t="n">
        <v>6</v>
      </c>
      <c r="AR5" s="43" t="inlineStr">
        <is>
          <t>BW30HR-440</t>
        </is>
      </c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3" t="n"/>
      <c r="BD5" s="43" t="n"/>
      <c r="BE5" s="43" t="n"/>
      <c r="BF5" s="43" t="n"/>
      <c r="BG5" s="43" t="n"/>
      <c r="BH5" s="43" t="n"/>
      <c r="BI5" s="43" t="n"/>
      <c r="BJ5" s="43" t="n"/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n"/>
      <c r="CP5" s="43" t="n"/>
      <c r="CQ5" s="43" t="n"/>
      <c r="CR5" s="43" t="n"/>
      <c r="CS5" s="43" t="n"/>
      <c r="CT5" s="44" t="n"/>
    </row>
    <row r="6" ht="26.39999961853027" customHeight="1" s="146">
      <c r="A6" s="42" t="n">
        <v>5</v>
      </c>
      <c r="B6" s="43" t="inlineStr">
        <is>
          <t>MIXED_MEMBRANE</t>
        </is>
      </c>
      <c r="C6" s="43" t="inlineStr">
        <is>
          <t>Y</t>
        </is>
      </c>
      <c r="D6" s="43" t="inlineStr">
        <is>
          <t>V25_MM_005</t>
        </is>
      </c>
      <c r="E6" s="43" t="inlineStr">
        <is>
          <t>V25_MM_005_5Stage_FullMix.pdf</t>
        </is>
      </c>
      <c r="F6" s="43" t="inlineStr">
        <is>
          <t>Y</t>
        </is>
      </c>
      <c r="G6" s="43" t="inlineStr">
        <is>
          <t>mixed membrane</t>
        </is>
      </c>
      <c r="H6" s="43" t="inlineStr">
        <is>
          <t>new</t>
        </is>
      </c>
      <c r="I6" s="43" t="inlineStr">
        <is>
          <t>Exact membrane selection and stage-specific PDF validation</t>
        </is>
      </c>
      <c r="J6" s="43" t="inlineStr">
        <is>
          <t>Not Started</t>
        </is>
      </c>
      <c r="K6" s="43" t="str"/>
      <c r="L6" s="43" t="inlineStr">
        <is>
          <t>Well Water - Med Hardness</t>
        </is>
      </c>
      <c r="M6" s="43" t="n">
        <v>110</v>
      </c>
      <c r="N6" s="43" t="n">
        <v>10</v>
      </c>
      <c r="O6" s="43" t="n">
        <v>25</v>
      </c>
      <c r="P6" s="43" t="n">
        <v>35</v>
      </c>
      <c r="Q6" s="43" t="n">
        <v>1</v>
      </c>
      <c r="R6" s="43" t="n">
        <v>75</v>
      </c>
      <c r="S6" s="43" t="inlineStr">
        <is>
          <t>Specify</t>
        </is>
      </c>
      <c r="T6" s="43" t="n">
        <v>25</v>
      </c>
      <c r="U6" s="43" t="n">
        <v>0.85</v>
      </c>
      <c r="V6" s="43" t="n">
        <v>0</v>
      </c>
      <c r="W6" s="43" t="n">
        <v>5</v>
      </c>
      <c r="X6" s="43" t="n">
        <v>8</v>
      </c>
      <c r="Y6" s="43" t="n">
        <v>6</v>
      </c>
      <c r="Z6" s="43" t="inlineStr">
        <is>
          <t>BW30XHR PRO-440</t>
        </is>
      </c>
      <c r="AA6" s="43" t="n"/>
      <c r="AB6" s="43" t="n"/>
      <c r="AC6" s="43" t="n"/>
      <c r="AD6" s="43" t="n">
        <v>4</v>
      </c>
      <c r="AE6" s="43" t="n">
        <v>6</v>
      </c>
      <c r="AF6" s="43" t="inlineStr">
        <is>
          <t>BW30HR-440</t>
        </is>
      </c>
      <c r="AG6" s="43" t="n"/>
      <c r="AH6" s="43" t="n"/>
      <c r="AI6" s="43" t="n"/>
      <c r="AJ6" s="43" t="n">
        <v>3</v>
      </c>
      <c r="AK6" s="43" t="n">
        <v>6</v>
      </c>
      <c r="AL6" s="43" t="inlineStr">
        <is>
          <t>BW30XFRLE-400/34</t>
        </is>
      </c>
      <c r="AM6" s="43" t="n"/>
      <c r="AN6" s="43" t="n"/>
      <c r="AO6" s="43" t="n"/>
      <c r="AP6" s="43" t="n">
        <v>2</v>
      </c>
      <c r="AQ6" s="43" t="n">
        <v>5</v>
      </c>
      <c r="AR6" s="43" t="inlineStr">
        <is>
          <t>BW30 PRO-400</t>
        </is>
      </c>
      <c r="AS6" s="43" t="n"/>
      <c r="AT6" s="43" t="n"/>
      <c r="AU6" s="43" t="n"/>
      <c r="AV6" s="43" t="n">
        <v>1</v>
      </c>
      <c r="AW6" s="43" t="n">
        <v>4</v>
      </c>
      <c r="AX6" s="43" t="inlineStr">
        <is>
          <t>BW30-400</t>
        </is>
      </c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3" t="n"/>
      <c r="BL6" s="43" t="n"/>
      <c r="BM6" s="43" t="n"/>
      <c r="BN6" s="43" t="n"/>
      <c r="BO6" s="43" t="n"/>
      <c r="BP6" s="43" t="n"/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n"/>
      <c r="CP6" s="43" t="n"/>
      <c r="CQ6" s="43" t="n"/>
      <c r="CR6" s="43" t="n"/>
      <c r="CS6" s="43" t="n"/>
      <c r="CT6" s="44" t="n"/>
    </row>
    <row r="7" ht="26.39999961853027" customHeight="1" s="146">
      <c r="A7" s="42" t="n">
        <v>6</v>
      </c>
      <c r="B7" s="43" t="inlineStr">
        <is>
          <t>MIXED_MEMBRANE</t>
        </is>
      </c>
      <c r="C7" s="43" t="inlineStr">
        <is>
          <t>Y</t>
        </is>
      </c>
      <c r="D7" s="43" t="inlineStr">
        <is>
          <t>V25_MM_006</t>
        </is>
      </c>
      <c r="E7" s="43" t="inlineStr">
        <is>
          <t>V25_MM_006_LC_HR_4040.pdf</t>
        </is>
      </c>
      <c r="F7" s="43" t="inlineStr">
        <is>
          <t>Y</t>
        </is>
      </c>
      <c r="G7" s="43" t="inlineStr">
        <is>
          <t>mixed membrane</t>
        </is>
      </c>
      <c r="H7" s="43" t="inlineStr">
        <is>
          <t>new</t>
        </is>
      </c>
      <c r="I7" s="43" t="inlineStr">
        <is>
          <t>Exact membrane selection and stage-specific PDF validation</t>
        </is>
      </c>
      <c r="J7" s="43" t="inlineStr">
        <is>
          <t>Not Started</t>
        </is>
      </c>
      <c r="K7" s="43" t="str"/>
      <c r="L7" s="43" t="inlineStr">
        <is>
          <t>Well Water - Med Hardness</t>
        </is>
      </c>
      <c r="M7" s="43" t="n">
        <v>15</v>
      </c>
      <c r="N7" s="43" t="n">
        <v>10</v>
      </c>
      <c r="O7" s="43" t="n">
        <v>25</v>
      </c>
      <c r="P7" s="43" t="n">
        <v>35</v>
      </c>
      <c r="Q7" s="43" t="n">
        <v>1</v>
      </c>
      <c r="R7" s="43" t="n">
        <v>72</v>
      </c>
      <c r="S7" s="43" t="inlineStr">
        <is>
          <t>Specify</t>
        </is>
      </c>
      <c r="T7" s="43" t="n">
        <v>25</v>
      </c>
      <c r="U7" s="43" t="n">
        <v>0.85</v>
      </c>
      <c r="V7" s="43" t="n">
        <v>0</v>
      </c>
      <c r="W7" s="43" t="n">
        <v>1</v>
      </c>
      <c r="X7" s="43" t="n">
        <v>4</v>
      </c>
      <c r="Y7" s="43" t="n">
        <v>6</v>
      </c>
      <c r="Z7" s="43" t="inlineStr">
        <is>
          <t>LC HR-4040</t>
        </is>
      </c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43" t="n"/>
      <c r="BW7" s="43" t="n"/>
      <c r="BX7" s="43" t="n"/>
      <c r="BY7" s="43" t="n"/>
      <c r="BZ7" s="43" t="n"/>
      <c r="CA7" s="43" t="n"/>
      <c r="CB7" s="43" t="n"/>
      <c r="CC7" s="43" t="n"/>
      <c r="CD7" s="43" t="n"/>
      <c r="CE7" s="43" t="n"/>
      <c r="CF7" s="43" t="n"/>
      <c r="CG7" s="43" t="n"/>
      <c r="CH7" s="43" t="n"/>
      <c r="CI7" s="43" t="n"/>
      <c r="CJ7" s="43" t="n"/>
      <c r="CK7" s="43" t="n"/>
      <c r="CL7" s="43" t="n"/>
      <c r="CM7" s="43" t="n"/>
      <c r="CN7" s="43" t="n"/>
      <c r="CO7" s="43" t="n"/>
      <c r="CP7" s="43" t="n"/>
      <c r="CQ7" s="43" t="n"/>
      <c r="CR7" s="43" t="n"/>
      <c r="CS7" s="43" t="n"/>
      <c r="CT7" s="44" t="n"/>
    </row>
    <row r="8" ht="26.39999961853027" customHeight="1" s="146">
      <c r="A8" s="42" t="n">
        <v>7</v>
      </c>
      <c r="B8" s="43" t="inlineStr">
        <is>
          <t>MIXED_MEMBRANE</t>
        </is>
      </c>
      <c r="C8" s="43" t="inlineStr">
        <is>
          <t>Y</t>
        </is>
      </c>
      <c r="D8" s="43" t="inlineStr">
        <is>
          <t>V25_MM_007</t>
        </is>
      </c>
      <c r="E8" s="43" t="inlineStr">
        <is>
          <t>V25_MM_007_LC_HF_4040.pdf</t>
        </is>
      </c>
      <c r="F8" s="43" t="inlineStr">
        <is>
          <t>Y</t>
        </is>
      </c>
      <c r="G8" s="43" t="inlineStr">
        <is>
          <t>mixed membrane</t>
        </is>
      </c>
      <c r="H8" s="43" t="inlineStr">
        <is>
          <t>new</t>
        </is>
      </c>
      <c r="I8" s="43" t="inlineStr">
        <is>
          <t>Exact membrane selection and stage-specific PDF validation</t>
        </is>
      </c>
      <c r="J8" s="43" t="inlineStr">
        <is>
          <t>Not Started</t>
        </is>
      </c>
      <c r="K8" s="43" t="str"/>
      <c r="L8" s="43" t="inlineStr">
        <is>
          <t>Well Water - Low TDS</t>
        </is>
      </c>
      <c r="M8" s="43" t="n">
        <v>15</v>
      </c>
      <c r="N8" s="43" t="n">
        <v>10</v>
      </c>
      <c r="O8" s="43" t="n">
        <v>25</v>
      </c>
      <c r="P8" s="43" t="n">
        <v>35</v>
      </c>
      <c r="Q8" s="43" t="n">
        <v>1</v>
      </c>
      <c r="R8" s="43" t="n">
        <v>72</v>
      </c>
      <c r="S8" s="43" t="inlineStr">
        <is>
          <t>Specify</t>
        </is>
      </c>
      <c r="T8" s="43" t="n">
        <v>25</v>
      </c>
      <c r="U8" s="43" t="n">
        <v>0.85</v>
      </c>
      <c r="V8" s="43" t="n">
        <v>0</v>
      </c>
      <c r="W8" s="43" t="n">
        <v>1</v>
      </c>
      <c r="X8" s="43" t="n">
        <v>4</v>
      </c>
      <c r="Y8" s="43" t="n">
        <v>6</v>
      </c>
      <c r="Z8" s="43" t="inlineStr">
        <is>
          <t>LC HF-4040</t>
        </is>
      </c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3" t="n"/>
      <c r="BL8" s="43" t="n"/>
      <c r="BM8" s="43" t="n"/>
      <c r="BN8" s="43" t="n"/>
      <c r="BO8" s="43" t="n"/>
      <c r="BP8" s="43" t="n"/>
      <c r="BQ8" s="43" t="n"/>
      <c r="BR8" s="43" t="n"/>
      <c r="BS8" s="43" t="n"/>
      <c r="BT8" s="43" t="n"/>
      <c r="BU8" s="43" t="n"/>
      <c r="BV8" s="43" t="n"/>
      <c r="BW8" s="43" t="n"/>
      <c r="BX8" s="43" t="n"/>
      <c r="BY8" s="43" t="n"/>
      <c r="BZ8" s="43" t="n"/>
      <c r="CA8" s="43" t="n"/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43" t="n"/>
      <c r="CL8" s="43" t="n"/>
      <c r="CM8" s="43" t="n"/>
      <c r="CN8" s="43" t="n"/>
      <c r="CO8" s="43" t="n"/>
      <c r="CP8" s="43" t="n"/>
      <c r="CQ8" s="43" t="n"/>
      <c r="CR8" s="43" t="n"/>
      <c r="CS8" s="43" t="n"/>
      <c r="CT8" s="44" t="n"/>
    </row>
    <row r="9" ht="26.39999961853027" customHeight="1" s="146">
      <c r="A9" s="45" t="n">
        <v>8</v>
      </c>
      <c r="B9" s="46" t="inlineStr">
        <is>
          <t>MIXED_MEMBRANE</t>
        </is>
      </c>
      <c r="C9" s="46" t="inlineStr">
        <is>
          <t>Y</t>
        </is>
      </c>
      <c r="D9" s="46" t="inlineStr">
        <is>
          <t>V25_MM_008</t>
        </is>
      </c>
      <c r="E9" s="46" t="inlineStr">
        <is>
          <t>V25_MM_008_LC_LE_4040.pdf</t>
        </is>
      </c>
      <c r="F9" s="46" t="inlineStr">
        <is>
          <t>Y</t>
        </is>
      </c>
      <c r="G9" s="46" t="inlineStr">
        <is>
          <t>mixed membrane</t>
        </is>
      </c>
      <c r="H9" s="46" t="inlineStr">
        <is>
          <t>new</t>
        </is>
      </c>
      <c r="I9" s="46" t="inlineStr">
        <is>
          <t>Exact membrane selection and stage-specific PDF validation</t>
        </is>
      </c>
      <c r="J9" s="46" t="inlineStr">
        <is>
          <t>Not Started</t>
        </is>
      </c>
      <c r="K9" s="46" t="str"/>
      <c r="L9" s="46" t="inlineStr">
        <is>
          <t>Well Water - Low Hardness</t>
        </is>
      </c>
      <c r="M9" s="46" t="n">
        <v>15</v>
      </c>
      <c r="N9" s="46" t="n">
        <v>10</v>
      </c>
      <c r="O9" s="46" t="n">
        <v>25</v>
      </c>
      <c r="P9" s="46" t="n">
        <v>35</v>
      </c>
      <c r="Q9" s="46" t="n">
        <v>1</v>
      </c>
      <c r="R9" s="46" t="n">
        <v>72</v>
      </c>
      <c r="S9" s="46" t="inlineStr">
        <is>
          <t>Specify</t>
        </is>
      </c>
      <c r="T9" s="46" t="n">
        <v>25</v>
      </c>
      <c r="U9" s="46" t="n">
        <v>0.85</v>
      </c>
      <c r="V9" s="46" t="n">
        <v>0</v>
      </c>
      <c r="W9" s="46" t="n">
        <v>1</v>
      </c>
      <c r="X9" s="46" t="n">
        <v>4</v>
      </c>
      <c r="Y9" s="46" t="n">
        <v>6</v>
      </c>
      <c r="Z9" s="46" t="inlineStr">
        <is>
          <t>LC LE-4040</t>
        </is>
      </c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  <c r="CO9" s="46" t="n"/>
      <c r="CP9" s="46" t="n"/>
      <c r="CQ9" s="46" t="n"/>
      <c r="CR9" s="46" t="n"/>
      <c r="CS9" s="46" t="n"/>
      <c r="CT9" s="47" t="n"/>
    </row>
  </sheetData>
  <conditionalFormatting sqref="J2:J9">
    <cfRule type="expression" priority="1" dxfId="0">
      <formula>J2="Passed"</formula>
    </cfRule>
    <cfRule type="expression" priority="2" dxfId="1">
      <formula>J2="Failed"</formula>
    </cfRule>
  </conditionalFormatting>
  <conditionalFormatting sqref="H2:H9">
    <cfRule type="expression" priority="3" dxfId="2">
      <formula>H2="experimental"</formula>
    </cfRule>
  </conditionalFormatting>
  <dataValidations count="17">
    <dataValidation sqref="C2:C9" showDropDown="0" showInputMessage="0" showErrorMessage="0" allowBlank="0" type="list">
      <formula1>"Y,N"</formula1>
    </dataValidation>
    <dataValidation sqref="F2:F9" showDropDown="0" showInputMessage="0" showErrorMessage="0" allowBlank="0" type="list">
      <formula1>"Y,N"</formula1>
    </dataValidation>
    <dataValidation sqref="J2:J9" showDropDown="0" showInputMessage="0" showErrorMessage="0" allowBlank="0" type="list">
      <formula1>"Not Started,Running,Passed,Failed,Skipped"</formula1>
    </dataValidation>
    <dataValidation sqref="S2:S9" showDropDown="0" showInputMessage="0" showErrorMessage="0" allowBlank="0" type="list">
      <formula1>"Minimum,Design,Maximum,Specify"</formula1>
    </dataValidation>
    <dataValidation sqref="AY2:AY9" showDropDown="0" showInputMessage="0" showErrorMessage="0" allowBlank="0" type="list">
      <formula1>"Minimum,Design,Maximum,Specify"</formula1>
    </dataValidation>
    <dataValidation sqref="CL2:CL9" showDropDown="0" showInputMessage="0" showErrorMessage="0" allowBlank="0" type="list">
      <formula1>"Y,N"</formula1>
    </dataValidation>
    <dataValidation sqref="CO2:CO9" showDropDown="0" showInputMessage="0" showErrorMessage="0" allowBlank="0" type="list">
      <formula1>"Y,N"</formula1>
    </dataValidation>
    <dataValidation sqref="CR2:CR9" showDropDown="0" showInputMessage="0" showErrorMessage="0" allowBlank="0" type="list">
      <formula1>"Y,N"</formula1>
    </dataValidation>
    <dataValidation sqref="CM2:CM9" showDropDown="0" showInputMessage="0" showErrorMessage="0" allowBlank="0" type="list">
      <formula1>"HCl (32),H2SO4 (98)"</formula1>
    </dataValidation>
    <dataValidation sqref="CP2:CP9" showDropDown="0" showInputMessage="0" showErrorMessage="0" allowBlank="0" type="list">
      <formula1>"CO2 Removal,CO2 Partial Pressure,CO2 Concentration"</formula1>
    </dataValidation>
    <dataValidation sqref="CS2:CS9" showDropDown="0" showInputMessage="0" showErrorMessage="0" allowBlank="0" type="list">
      <formula1>"NaOH (30),NaOH (50)"</formula1>
    </dataValidation>
    <dataValidation sqref="CU2:CU1000" showDropDown="0" showInputMessage="0" showErrorMessage="0" allowBlank="0" type="list">
      <formula1>"Y,N"</formula1>
    </dataValidation>
    <dataValidation sqref="CX2:CX1000" showDropDown="0" showInputMessage="0" showErrorMessage="0" allowBlank="0" type="list">
      <formula1>"Y,N"</formula1>
    </dataValidation>
    <dataValidation sqref="DE2:DE1000" showDropDown="0" showInputMessage="0" showErrorMessage="0" allowBlank="0" type="list">
      <formula1>"Y,N"</formula1>
    </dataValidation>
    <dataValidation sqref="DH2:DH1000" showDropDown="0" showInputMessage="0" showErrorMessage="0" allowBlank="0" type="list">
      <formula1>"Y,N"</formula1>
    </dataValidation>
    <dataValidation sqref="DA2:DA1000" showDropDown="0" showInputMessage="0" showErrorMessage="0" allowBlank="0" type="list">
      <formula1>"Minimum,Design,Maximum,Specify"</formula1>
    </dataValidation>
    <dataValidation sqref="DC2:DC1000" showDropDown="0" showInputMessage="0" showErrorMessage="0" allowBlank="0" type="list">
      <formula1>"Basic default,Specify,Based on RO config"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10"/>
  <sheetViews>
    <sheetView workbookViewId="0">
      <selection activeCell="A1" sqref="A1"/>
    </sheetView>
  </sheetViews>
  <sheetFormatPr baseColWidth="8" defaultRowHeight="15"/>
  <cols>
    <col width="12" customWidth="1" style="146" min="1" max="1"/>
    <col width="12" customWidth="1" style="146" min="2" max="2"/>
    <col width="12" customWidth="1" style="146" min="3" max="3"/>
    <col width="17" customWidth="1" style="146" min="4" max="4"/>
    <col width="42" customWidth="1" style="146" min="5" max="5"/>
    <col width="17" customWidth="1" style="146" min="6" max="6"/>
    <col width="17" customWidth="1" style="146" min="7" max="7"/>
    <col width="17" customWidth="1" style="146" min="8" max="8"/>
    <col width="35" customWidth="1" style="146" min="9" max="9"/>
    <col width="16" customWidth="1" style="146" min="10" max="10"/>
    <col width="40" customWidth="1" style="146" min="11" max="11"/>
    <col width="30" customWidth="1" style="146" min="12" max="12"/>
    <col width="16" customWidth="1" style="146" min="13" max="13"/>
    <col width="16" customWidth="1" style="146" min="14" max="14"/>
    <col width="16" customWidth="1" style="146" min="15" max="15"/>
    <col width="16" customWidth="1" style="146" min="16" max="16"/>
    <col width="16" customWidth="1" style="146" min="17" max="17"/>
    <col width="16" customWidth="1" style="146" min="18" max="18"/>
    <col width="16" customWidth="1" style="146" min="19" max="19"/>
    <col width="16" customWidth="1" style="146" min="20" max="20"/>
    <col width="16" customWidth="1" style="146" min="21" max="21"/>
    <col width="16" customWidth="1" style="146" min="22" max="22"/>
    <col width="16" customWidth="1" style="146" min="23" max="23"/>
    <col width="16" customWidth="1" style="146" min="24" max="24"/>
    <col width="16" customWidth="1" style="146" min="25" max="25"/>
    <col width="16" customWidth="1" style="146" min="26" max="26"/>
    <col width="16" customWidth="1" style="146" min="27" max="27"/>
    <col width="16" customWidth="1" style="146" min="28" max="28"/>
    <col width="16" customWidth="1" style="146" min="29" max="29"/>
    <col width="16" customWidth="1" style="146" min="30" max="30"/>
    <col width="16" customWidth="1" style="146" min="31" max="31"/>
    <col width="16" customWidth="1" style="146" min="32" max="32"/>
    <col width="16" customWidth="1" style="146" min="33" max="33"/>
    <col width="16" customWidth="1" style="146" min="34" max="34"/>
    <col width="16" customWidth="1" style="146" min="35" max="35"/>
    <col width="16" customWidth="1" style="146" min="36" max="36"/>
    <col width="16" customWidth="1" style="146" min="37" max="37"/>
    <col width="16" customWidth="1" style="146" min="38" max="38"/>
    <col width="16" customWidth="1" style="146" min="39" max="39"/>
    <col width="16" customWidth="1" style="146" min="40" max="40"/>
    <col width="16" customWidth="1" style="146" min="41" max="41"/>
    <col width="16" customWidth="1" style="146" min="42" max="42"/>
    <col width="16" customWidth="1" style="146" min="43" max="43"/>
    <col width="16" customWidth="1" style="146" min="44" max="44"/>
    <col width="16" customWidth="1" style="146" min="45" max="45"/>
    <col width="16" customWidth="1" style="146" min="46" max="46"/>
    <col width="16" customWidth="1" style="146" min="47" max="47"/>
    <col width="16" customWidth="1" style="146" min="48" max="48"/>
    <col width="16" customWidth="1" style="146" min="49" max="49"/>
    <col width="16" customWidth="1" style="146" min="50" max="50"/>
    <col width="16" customWidth="1" style="146" min="51" max="51"/>
    <col width="16" customWidth="1" style="146" min="52" max="52"/>
    <col width="16" customWidth="1" style="146" min="53" max="53"/>
    <col width="16" customWidth="1" style="146" min="54" max="54"/>
    <col width="16" customWidth="1" style="146" min="55" max="55"/>
    <col width="16" customWidth="1" style="146" min="56" max="56"/>
    <col width="16" customWidth="1" style="146" min="57" max="57"/>
    <col width="16" customWidth="1" style="146" min="58" max="58"/>
    <col width="16" customWidth="1" style="146" min="59" max="59"/>
    <col width="16" customWidth="1" style="146" min="60" max="60"/>
    <col width="16" customWidth="1" style="146" min="61" max="61"/>
    <col width="16" customWidth="1" style="146" min="62" max="62"/>
    <col width="16" customWidth="1" style="146" min="63" max="63"/>
    <col width="16" customWidth="1" style="146" min="64" max="64"/>
    <col width="16" customWidth="1" style="146" min="65" max="65"/>
    <col width="16" customWidth="1" style="146" min="66" max="66"/>
    <col width="16" customWidth="1" style="146" min="67" max="67"/>
    <col width="16" customWidth="1" style="146" min="68" max="68"/>
    <col width="16" customWidth="1" style="146" min="69" max="69"/>
    <col width="16" customWidth="1" style="146" min="70" max="70"/>
    <col width="16" customWidth="1" style="146" min="71" max="71"/>
    <col width="16" customWidth="1" style="146" min="72" max="72"/>
    <col width="16" customWidth="1" style="146" min="73" max="73"/>
    <col width="16" customWidth="1" style="146" min="74" max="74"/>
    <col width="16" customWidth="1" style="146" min="75" max="75"/>
    <col width="16" customWidth="1" style="146" min="76" max="76"/>
    <col width="16" customWidth="1" style="146" min="77" max="77"/>
    <col width="16" customWidth="1" style="146" min="78" max="78"/>
    <col width="16" customWidth="1" style="146" min="79" max="79"/>
    <col width="16" customWidth="1" style="146" min="80" max="80"/>
    <col width="16" customWidth="1" style="146" min="81" max="81"/>
    <col width="16" customWidth="1" style="146" min="82" max="82"/>
    <col width="16" customWidth="1" style="146" min="83" max="83"/>
    <col width="16" customWidth="1" style="146" min="84" max="84"/>
    <col width="16" customWidth="1" style="146" min="85" max="85"/>
    <col width="16" customWidth="1" style="146" min="86" max="86"/>
    <col width="16" customWidth="1" style="146" min="87" max="87"/>
    <col width="16" customWidth="1" style="146" min="88" max="88"/>
    <col width="16" customWidth="1" style="146" min="89" max="89"/>
    <col width="16" customWidth="1" style="146" min="90" max="90"/>
    <col width="16" customWidth="1" style="146" min="91" max="91"/>
    <col width="16" customWidth="1" style="146" min="92" max="92"/>
    <col width="16" customWidth="1" style="146" min="93" max="93"/>
    <col width="16" customWidth="1" style="146" min="94" max="94"/>
    <col width="16" customWidth="1" style="146" min="95" max="95"/>
    <col width="16" customWidth="1" style="146" min="96" max="96"/>
    <col width="16" customWidth="1" style="146" min="97" max="97"/>
    <col width="16" customWidth="1" style="146" min="98" max="98"/>
    <col width="17" customWidth="1" style="146" min="99" max="99"/>
    <col width="28" customWidth="1" style="146" min="100" max="100"/>
    <col width="20" customWidth="1" style="146" min="101" max="101"/>
    <col width="17" customWidth="1" style="146" min="102" max="102"/>
    <col width="28" customWidth="1" style="146" min="103" max="103"/>
    <col width="20" customWidth="1" style="146" min="104" max="104"/>
    <col width="24" customWidth="1" style="146" min="105" max="105"/>
    <col width="20" customWidth="1" style="146" min="106" max="106"/>
    <col width="24" customWidth="1" style="146" min="107" max="107"/>
    <col width="20" customWidth="1" style="146" min="108" max="108"/>
    <col width="17" customWidth="1" style="146" min="109" max="109"/>
    <col width="28" customWidth="1" style="146" min="110" max="110"/>
    <col width="20" customWidth="1" style="146" min="111" max="111"/>
    <col width="17" customWidth="1" style="146" min="112" max="112"/>
    <col width="20" customWidth="1" style="146" min="113" max="113"/>
  </cols>
  <sheetData>
    <row r="1" ht="34" customHeight="1" s="146">
      <c r="A1" s="12" t="inlineStr">
        <is>
          <t>Batch_Order</t>
        </is>
      </c>
      <c r="B1" s="13" t="inlineStr">
        <is>
          <t>Batch_Group</t>
        </is>
      </c>
      <c r="C1" s="13" t="inlineStr">
        <is>
          <t>Run_Enabled</t>
        </is>
      </c>
      <c r="D1" s="13" t="inlineStr">
        <is>
          <t>Case_ID</t>
        </is>
      </c>
      <c r="E1" s="13" t="inlineStr">
        <is>
          <t>Recommended_PDF_Name</t>
        </is>
      </c>
      <c r="F1" s="13" t="inlineStr">
        <is>
          <t>Fresh_Project_Required</t>
        </is>
      </c>
      <c r="G1" s="13" t="inlineStr">
        <is>
          <t>Test_Lane</t>
        </is>
      </c>
      <c r="H1" s="13" t="inlineStr">
        <is>
          <t>Expected_Tier</t>
        </is>
      </c>
      <c r="I1" s="13" t="inlineStr">
        <is>
          <t>Test_Purpose</t>
        </is>
      </c>
      <c r="J1" s="13" t="inlineStr">
        <is>
          <t>Run_Status</t>
        </is>
      </c>
      <c r="K1" s="13" t="inlineStr">
        <is>
          <t>Notes</t>
        </is>
      </c>
      <c r="L1" s="13" t="inlineStr">
        <is>
          <t>WAVE_Library_Selection</t>
        </is>
      </c>
      <c r="M1" s="13" t="inlineStr">
        <is>
          <t>Feed_Flow_m3h</t>
        </is>
      </c>
      <c r="N1" s="13" t="inlineStr">
        <is>
          <t>Temperature_Min_C</t>
        </is>
      </c>
      <c r="O1" s="13" t="inlineStr">
        <is>
          <t>Temperature_Design_C</t>
        </is>
      </c>
      <c r="P1" s="13" t="inlineStr">
        <is>
          <t>Temperature_Max_C</t>
        </is>
      </c>
      <c r="Q1" s="13" t="inlineStr">
        <is>
          <t>Pass_Count</t>
        </is>
      </c>
      <c r="R1" s="13" t="inlineStr">
        <is>
          <t>Pass1_Recovery_pct</t>
        </is>
      </c>
      <c r="S1" s="13" t="inlineStr">
        <is>
          <t>Pass1_Temperature_Mode</t>
        </is>
      </c>
      <c r="T1" s="13" t="inlineStr">
        <is>
          <t>Pass1_Temperature_C</t>
        </is>
      </c>
      <c r="U1" s="13" t="inlineStr">
        <is>
          <t>Pass1_Flow_Factor</t>
        </is>
      </c>
      <c r="V1" s="13" t="inlineStr">
        <is>
          <t>Pass1_Permeate_Back_Pressure_bar</t>
        </is>
      </c>
      <c r="W1" s="13" t="inlineStr">
        <is>
          <t>Pass1_Stage_Count</t>
        </is>
      </c>
      <c r="X1" s="13" t="inlineStr">
        <is>
          <t>P1S1_PV</t>
        </is>
      </c>
      <c r="Y1" s="13" t="inlineStr">
        <is>
          <t>P1S1_Elements_per_PV</t>
        </is>
      </c>
      <c r="Z1" s="13" t="inlineStr">
        <is>
          <t>P1S1_Membrane</t>
        </is>
      </c>
      <c r="AA1" s="13" t="inlineStr">
        <is>
          <t>P1S1_Stage_Back_Pressure_bar</t>
        </is>
      </c>
      <c r="AB1" s="13" t="inlineStr">
        <is>
          <t>P1S1_Boost_Pressure_bar</t>
        </is>
      </c>
      <c r="AC1" s="13" t="inlineStr">
        <is>
          <t>P1S1_Flow_Factor</t>
        </is>
      </c>
      <c r="AD1" s="13" t="inlineStr">
        <is>
          <t>P1S2_PV</t>
        </is>
      </c>
      <c r="AE1" s="13" t="inlineStr">
        <is>
          <t>P1S2_Elements_per_PV</t>
        </is>
      </c>
      <c r="AF1" s="13" t="inlineStr">
        <is>
          <t>P1S2_Membrane</t>
        </is>
      </c>
      <c r="AG1" s="13" t="inlineStr">
        <is>
          <t>P1S2_Stage_Back_Pressure_bar</t>
        </is>
      </c>
      <c r="AH1" s="13" t="inlineStr">
        <is>
          <t>P1S2_Boost_Pressure_bar</t>
        </is>
      </c>
      <c r="AI1" s="13" t="inlineStr">
        <is>
          <t>P1S2_Flow_Factor</t>
        </is>
      </c>
      <c r="AJ1" s="13" t="inlineStr">
        <is>
          <t>P1S3_PV</t>
        </is>
      </c>
      <c r="AK1" s="13" t="inlineStr">
        <is>
          <t>P1S3_Elements_per_PV</t>
        </is>
      </c>
      <c r="AL1" s="13" t="inlineStr">
        <is>
          <t>P1S3_Membrane</t>
        </is>
      </c>
      <c r="AM1" s="13" t="inlineStr">
        <is>
          <t>P1S3_Stage_Back_Pressure_bar</t>
        </is>
      </c>
      <c r="AN1" s="13" t="inlineStr">
        <is>
          <t>P1S3_Boost_Pressure_bar</t>
        </is>
      </c>
      <c r="AO1" s="13" t="inlineStr">
        <is>
          <t>P1S3_Flow_Factor</t>
        </is>
      </c>
      <c r="AP1" s="13" t="inlineStr">
        <is>
          <t>P1S4_PV</t>
        </is>
      </c>
      <c r="AQ1" s="13" t="inlineStr">
        <is>
          <t>P1S4_Elements_per_PV</t>
        </is>
      </c>
      <c r="AR1" s="13" t="inlineStr">
        <is>
          <t>P1S4_Membrane</t>
        </is>
      </c>
      <c r="AS1" s="13" t="inlineStr">
        <is>
          <t>P1S4_Stage_Back_Pressure_bar</t>
        </is>
      </c>
      <c r="AT1" s="13" t="inlineStr">
        <is>
          <t>P1S4_Boost_Pressure_bar</t>
        </is>
      </c>
      <c r="AU1" s="13" t="inlineStr">
        <is>
          <t>P1S4_Flow_Factor</t>
        </is>
      </c>
      <c r="AV1" s="13" t="inlineStr">
        <is>
          <t>P1S5_PV</t>
        </is>
      </c>
      <c r="AW1" s="13" t="inlineStr">
        <is>
          <t>P1S5_Elements_per_PV</t>
        </is>
      </c>
      <c r="AX1" s="13" t="inlineStr">
        <is>
          <t>P1S5_Membrane</t>
        </is>
      </c>
      <c r="AY1" s="13" t="inlineStr">
        <is>
          <t>P1S5_Stage_Back_Pressure_bar</t>
        </is>
      </c>
      <c r="AZ1" s="13" t="inlineStr">
        <is>
          <t>P1S5_Boost_Pressure_bar</t>
        </is>
      </c>
      <c r="BA1" s="13" t="inlineStr">
        <is>
          <t>P1S5_Flow_Factor</t>
        </is>
      </c>
      <c r="BB1" s="13" t="inlineStr">
        <is>
          <t>Pass2_Recovery_pct</t>
        </is>
      </c>
      <c r="BC1" s="13" t="inlineStr">
        <is>
          <t>Pass2_Temperature_Mode</t>
        </is>
      </c>
      <c r="BD1" s="13" t="inlineStr">
        <is>
          <t>Pass2_Temperature_C</t>
        </is>
      </c>
      <c r="BE1" s="13" t="inlineStr">
        <is>
          <t>Pass2_Flow_Factor</t>
        </is>
      </c>
      <c r="BF1" s="13" t="inlineStr">
        <is>
          <t>Pass2_Permeate_Back_Pressure_bar</t>
        </is>
      </c>
      <c r="BG1" s="13" t="inlineStr">
        <is>
          <t>Pass2_Stage_Count</t>
        </is>
      </c>
      <c r="BH1" s="13" t="inlineStr">
        <is>
          <t>P2S1_PV</t>
        </is>
      </c>
      <c r="BI1" s="13" t="inlineStr">
        <is>
          <t>P2S1_Elements_per_PV</t>
        </is>
      </c>
      <c r="BJ1" s="13" t="inlineStr">
        <is>
          <t>P2S1_Membrane</t>
        </is>
      </c>
      <c r="BK1" s="13" t="inlineStr">
        <is>
          <t>P2S1_Stage_Back_Pressure_bar</t>
        </is>
      </c>
      <c r="BL1" s="13" t="inlineStr">
        <is>
          <t>P2S1_Boost_Pressure_bar</t>
        </is>
      </c>
      <c r="BM1" s="13" t="inlineStr">
        <is>
          <t>P2S1_Flow_Factor</t>
        </is>
      </c>
      <c r="BN1" s="13" t="inlineStr">
        <is>
          <t>P2S2_PV</t>
        </is>
      </c>
      <c r="BO1" s="13" t="inlineStr">
        <is>
          <t>P2S2_Elements_per_PV</t>
        </is>
      </c>
      <c r="BP1" s="13" t="inlineStr">
        <is>
          <t>P2S2_Membrane</t>
        </is>
      </c>
      <c r="BQ1" s="13" t="inlineStr">
        <is>
          <t>P2S2_Stage_Back_Pressure_bar</t>
        </is>
      </c>
      <c r="BR1" s="13" t="inlineStr">
        <is>
          <t>P2S2_Boost_Pressure_bar</t>
        </is>
      </c>
      <c r="BS1" s="13" t="inlineStr">
        <is>
          <t>P2S2_Flow_Factor</t>
        </is>
      </c>
      <c r="BT1" s="13" t="inlineStr">
        <is>
          <t>P2S3_PV</t>
        </is>
      </c>
      <c r="BU1" s="13" t="inlineStr">
        <is>
          <t>P2S3_Elements_per_PV</t>
        </is>
      </c>
      <c r="BV1" s="13" t="inlineStr">
        <is>
          <t>P2S3_Membrane</t>
        </is>
      </c>
      <c r="BW1" s="13" t="inlineStr">
        <is>
          <t>P2S3_Stage_Back_Pressure_bar</t>
        </is>
      </c>
      <c r="BX1" s="13" t="inlineStr">
        <is>
          <t>P2S3_Boost_Pressure_bar</t>
        </is>
      </c>
      <c r="BY1" s="13" t="inlineStr">
        <is>
          <t>P2S3_Flow_Factor</t>
        </is>
      </c>
      <c r="BZ1" s="13" t="inlineStr">
        <is>
          <t>P2S4_PV</t>
        </is>
      </c>
      <c r="CA1" s="13" t="inlineStr">
        <is>
          <t>P2S4_Elements_per_PV</t>
        </is>
      </c>
      <c r="CB1" s="13" t="inlineStr">
        <is>
          <t>P2S4_Membrane</t>
        </is>
      </c>
      <c r="CC1" s="13" t="inlineStr">
        <is>
          <t>P2S4_Stage_Back_Pressure_bar</t>
        </is>
      </c>
      <c r="CD1" s="13" t="inlineStr">
        <is>
          <t>P2S4_Boost_Pressure_bar</t>
        </is>
      </c>
      <c r="CE1" s="13" t="inlineStr">
        <is>
          <t>P2S4_Flow_Factor</t>
        </is>
      </c>
      <c r="CF1" s="13" t="inlineStr">
        <is>
          <t>P2S5_PV</t>
        </is>
      </c>
      <c r="CG1" s="13" t="inlineStr">
        <is>
          <t>P2S5_Elements_per_PV</t>
        </is>
      </c>
      <c r="CH1" s="13" t="inlineStr">
        <is>
          <t>P2S5_Membrane</t>
        </is>
      </c>
      <c r="CI1" s="13" t="inlineStr">
        <is>
          <t>P2S5_Stage_Back_Pressure_bar</t>
        </is>
      </c>
      <c r="CJ1" s="13" t="inlineStr">
        <is>
          <t>P2S5_Boost_Pressure_bar</t>
        </is>
      </c>
      <c r="CK1" s="13" t="inlineStr">
        <is>
          <t>P2S5_Flow_Factor</t>
        </is>
      </c>
      <c r="CL1" s="13" t="inlineStr">
        <is>
          <t>Acid_Enabled</t>
        </is>
      </c>
      <c r="CM1" s="13" t="inlineStr">
        <is>
          <t>Acid_Type</t>
        </is>
      </c>
      <c r="CN1" s="13" t="inlineStr">
        <is>
          <t>Acid_Target_pH</t>
        </is>
      </c>
      <c r="CO1" s="13" t="inlineStr">
        <is>
          <t>Degas_Enabled</t>
        </is>
      </c>
      <c r="CP1" s="13" t="inlineStr">
        <is>
          <t>Degas_Mode</t>
        </is>
      </c>
      <c r="CQ1" s="13" t="inlineStr">
        <is>
          <t>Degas_Value</t>
        </is>
      </c>
      <c r="CR1" s="13" t="inlineStr">
        <is>
          <t>Base_Enabled</t>
        </is>
      </c>
      <c r="CS1" s="13" t="inlineStr">
        <is>
          <t>Base_Type</t>
        </is>
      </c>
      <c r="CT1" s="14" t="inlineStr">
        <is>
          <t>Base_Target_pH</t>
        </is>
      </c>
      <c r="CU1" s="160" t="inlineStr">
        <is>
          <t>Antiscalant_Enabled</t>
        </is>
      </c>
      <c r="CV1" s="160" t="inlineStr">
        <is>
          <t>Antiscalant_Type</t>
        </is>
      </c>
      <c r="CW1" s="160" t="inlineStr">
        <is>
          <t>Antiscalant_Dose_mgL</t>
        </is>
      </c>
      <c r="CX1" s="160" t="inlineStr">
        <is>
          <t>Dechlorinator_Enabled</t>
        </is>
      </c>
      <c r="CY1" s="160" t="inlineStr">
        <is>
          <t>Dechlorinator_Type</t>
        </is>
      </c>
      <c r="CZ1" s="160" t="inlineStr">
        <is>
          <t>Dechlorinator_Dose_mgL</t>
        </is>
      </c>
      <c r="DA1" s="160" t="inlineStr">
        <is>
          <t>Chemical_Temperature_Mode</t>
        </is>
      </c>
      <c r="DB1" s="160" t="inlineStr">
        <is>
          <t>Chemical_Temperature_C</t>
        </is>
      </c>
      <c r="DC1" s="160" t="inlineStr">
        <is>
          <t>Chemical_Recovery_Mode</t>
        </is>
      </c>
      <c r="DD1" s="160" t="inlineStr">
        <is>
          <t>Chemical_Recovery_pct</t>
        </is>
      </c>
      <c r="DE1" s="160" t="inlineStr">
        <is>
          <t>Compaction_Enabled</t>
        </is>
      </c>
      <c r="DF1" s="160" t="inlineStr">
        <is>
          <t>Compaction_Mode</t>
        </is>
      </c>
      <c r="DG1" s="160" t="inlineStr">
        <is>
          <t>Compaction_Value</t>
        </is>
      </c>
      <c r="DH1" s="160" t="inlineStr">
        <is>
          <t>RO_TOC_Rejection_Enabled</t>
        </is>
      </c>
      <c r="DI1" s="160" t="inlineStr">
        <is>
          <t>RO_TOC_Rejection_pct</t>
        </is>
      </c>
    </row>
    <row r="2" ht="26.39999961853027" customHeight="1" s="146">
      <c r="A2" s="42" t="n">
        <v>1</v>
      </c>
      <c r="B2" s="43" t="inlineStr">
        <is>
          <t>CHEM_DEGAS</t>
        </is>
      </c>
      <c r="C2" s="43" t="inlineStr">
        <is>
          <t>Y</t>
        </is>
      </c>
      <c r="D2" s="43" t="inlineStr">
        <is>
          <t>V25_CH_001</t>
        </is>
      </c>
      <c r="E2" s="43" t="inlineStr">
        <is>
          <t>V25_CH_001_HCl32_pH55.pdf</t>
        </is>
      </c>
      <c r="F2" s="43" t="inlineStr">
        <is>
          <t>Y</t>
        </is>
      </c>
      <c r="G2" s="43" t="inlineStr">
        <is>
          <t>chemical/degas</t>
        </is>
      </c>
      <c r="H2" s="43" t="inlineStr">
        <is>
          <t>experimental</t>
        </is>
      </c>
      <c r="I2" s="43" t="inlineStr">
        <is>
          <t>Add Chemicals/Degas UIA readback test</t>
        </is>
      </c>
      <c r="J2" s="43" t="inlineStr">
        <is>
          <t>Not Started</t>
        </is>
      </c>
      <c r="K2" s="43" t="inlineStr">
        <is>
          <t>Run one case per fresh WAVE project; use --allow-experimental-ro.</t>
        </is>
      </c>
      <c r="L2" s="43" t="inlineStr">
        <is>
          <t>Well Water - High Hardness</t>
        </is>
      </c>
      <c r="M2" s="43" t="n">
        <v>100</v>
      </c>
      <c r="N2" s="43" t="n">
        <v>10</v>
      </c>
      <c r="O2" s="43" t="n">
        <v>25</v>
      </c>
      <c r="P2" s="43" t="n">
        <v>35</v>
      </c>
      <c r="Q2" s="43" t="n">
        <v>1</v>
      </c>
      <c r="R2" s="43" t="n">
        <v>70</v>
      </c>
      <c r="S2" s="43" t="inlineStr">
        <is>
          <t>Specify</t>
        </is>
      </c>
      <c r="T2" s="43" t="n">
        <v>25</v>
      </c>
      <c r="U2" s="43" t="n">
        <v>0.85</v>
      </c>
      <c r="V2" s="43" t="n">
        <v>0</v>
      </c>
      <c r="W2" s="43" t="n">
        <v>1</v>
      </c>
      <c r="X2" s="43" t="n">
        <v>10</v>
      </c>
      <c r="Y2" s="43" t="n">
        <v>6</v>
      </c>
      <c r="Z2" s="43" t="inlineStr">
        <is>
          <t>BW30-400</t>
        </is>
      </c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/>
      <c r="BC2" s="43" t="n"/>
      <c r="BD2" s="43" t="n"/>
      <c r="BE2" s="43" t="n"/>
      <c r="BF2" s="43" t="n"/>
      <c r="BG2" s="43" t="n"/>
      <c r="BH2" s="43" t="n"/>
      <c r="BI2" s="43" t="n"/>
      <c r="BJ2" s="43" t="n"/>
      <c r="BK2" s="43" t="n"/>
      <c r="BL2" s="43" t="n"/>
      <c r="BM2" s="43" t="n"/>
      <c r="BN2" s="43" t="n"/>
      <c r="BO2" s="43" t="n"/>
      <c r="BP2" s="43" t="n"/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inlineStr">
        <is>
          <t>Y</t>
        </is>
      </c>
      <c r="CM2" s="43" t="inlineStr">
        <is>
          <t>HCl (32)</t>
        </is>
      </c>
      <c r="CN2" s="43" t="n">
        <v>5.5</v>
      </c>
      <c r="CO2" s="43" t="n"/>
      <c r="CP2" s="43" t="n"/>
      <c r="CQ2" s="43" t="n"/>
      <c r="CR2" s="43" t="n"/>
      <c r="CS2" s="43" t="n"/>
      <c r="CT2" s="44" t="n"/>
    </row>
    <row r="3" ht="26.39999961853027" customHeight="1" s="146">
      <c r="A3" s="42" t="n">
        <v>2</v>
      </c>
      <c r="B3" s="43" t="inlineStr">
        <is>
          <t>CHEM_DEGAS</t>
        </is>
      </c>
      <c r="C3" s="43" t="inlineStr">
        <is>
          <t>Y</t>
        </is>
      </c>
      <c r="D3" s="43" t="inlineStr">
        <is>
          <t>V25_CH_002</t>
        </is>
      </c>
      <c r="E3" s="43" t="inlineStr">
        <is>
          <t>V25_CH_002_H2SO4_98_pH58.pdf</t>
        </is>
      </c>
      <c r="F3" s="43" t="inlineStr">
        <is>
          <t>Y</t>
        </is>
      </c>
      <c r="G3" s="43" t="inlineStr">
        <is>
          <t>chemical/degas</t>
        </is>
      </c>
      <c r="H3" s="43" t="inlineStr">
        <is>
          <t>experimental</t>
        </is>
      </c>
      <c r="I3" s="43" t="inlineStr">
        <is>
          <t>Add Chemicals/Degas UIA readback test</t>
        </is>
      </c>
      <c r="J3" s="43" t="inlineStr">
        <is>
          <t>Not Started</t>
        </is>
      </c>
      <c r="K3" s="43" t="inlineStr">
        <is>
          <t>Run one case per fresh WAVE project; use --allow-experimental-ro.</t>
        </is>
      </c>
      <c r="L3" s="43" t="inlineStr">
        <is>
          <t>Well Water - High Hardness</t>
        </is>
      </c>
      <c r="M3" s="43" t="n">
        <v>100</v>
      </c>
      <c r="N3" s="43" t="n">
        <v>10</v>
      </c>
      <c r="O3" s="43" t="n">
        <v>25</v>
      </c>
      <c r="P3" s="43" t="n">
        <v>35</v>
      </c>
      <c r="Q3" s="43" t="n">
        <v>1</v>
      </c>
      <c r="R3" s="43" t="n">
        <v>70</v>
      </c>
      <c r="S3" s="43" t="inlineStr">
        <is>
          <t>Specify</t>
        </is>
      </c>
      <c r="T3" s="43" t="n">
        <v>25</v>
      </c>
      <c r="U3" s="43" t="n">
        <v>0.85</v>
      </c>
      <c r="V3" s="43" t="n">
        <v>0</v>
      </c>
      <c r="W3" s="43" t="n">
        <v>1</v>
      </c>
      <c r="X3" s="43" t="n">
        <v>10</v>
      </c>
      <c r="Y3" s="43" t="n">
        <v>6</v>
      </c>
      <c r="Z3" s="43" t="inlineStr">
        <is>
          <t>BW30-400</t>
        </is>
      </c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inlineStr">
        <is>
          <t>Y</t>
        </is>
      </c>
      <c r="CM3" s="43" t="inlineStr">
        <is>
          <t>H2SO4 (98)</t>
        </is>
      </c>
      <c r="CN3" s="43" t="n">
        <v>5.8</v>
      </c>
      <c r="CO3" s="43" t="n"/>
      <c r="CP3" s="43" t="n"/>
      <c r="CQ3" s="43" t="n"/>
      <c r="CR3" s="43" t="n"/>
      <c r="CS3" s="43" t="n"/>
      <c r="CT3" s="44" t="n"/>
    </row>
    <row r="4" ht="26.39999961853027" customHeight="1" s="146">
      <c r="A4" s="42" t="n">
        <v>3</v>
      </c>
      <c r="B4" s="43" t="inlineStr">
        <is>
          <t>CHEM_DEGAS</t>
        </is>
      </c>
      <c r="C4" s="43" t="inlineStr">
        <is>
          <t>Y</t>
        </is>
      </c>
      <c r="D4" s="43" t="inlineStr">
        <is>
          <t>V25_CH_003</t>
        </is>
      </c>
      <c r="E4" s="43" t="inlineStr">
        <is>
          <t>V25_CH_003_CO2_Removal90.pdf</t>
        </is>
      </c>
      <c r="F4" s="43" t="inlineStr">
        <is>
          <t>Y</t>
        </is>
      </c>
      <c r="G4" s="43" t="inlineStr">
        <is>
          <t>chemical/degas</t>
        </is>
      </c>
      <c r="H4" s="43" t="inlineStr">
        <is>
          <t>experimental</t>
        </is>
      </c>
      <c r="I4" s="43" t="inlineStr">
        <is>
          <t>Add Chemicals/Degas UIA readback test</t>
        </is>
      </c>
      <c r="J4" s="43" t="inlineStr">
        <is>
          <t>Not Started</t>
        </is>
      </c>
      <c r="K4" s="43" t="inlineStr">
        <is>
          <t>Run one case per fresh WAVE project; use --allow-experimental-ro.</t>
        </is>
      </c>
      <c r="L4" s="43" t="inlineStr">
        <is>
          <t>Well Water - Med Hardness</t>
        </is>
      </c>
      <c r="M4" s="43" t="n">
        <v>100</v>
      </c>
      <c r="N4" s="43" t="n">
        <v>10</v>
      </c>
      <c r="O4" s="43" t="n">
        <v>25</v>
      </c>
      <c r="P4" s="43" t="n">
        <v>35</v>
      </c>
      <c r="Q4" s="43" t="n">
        <v>1</v>
      </c>
      <c r="R4" s="43" t="n">
        <v>75</v>
      </c>
      <c r="S4" s="43" t="inlineStr">
        <is>
          <t>Specify</t>
        </is>
      </c>
      <c r="T4" s="43" t="n">
        <v>25</v>
      </c>
      <c r="U4" s="43" t="n">
        <v>0.85</v>
      </c>
      <c r="V4" s="43" t="n">
        <v>0</v>
      </c>
      <c r="W4" s="43" t="n">
        <v>1</v>
      </c>
      <c r="X4" s="43" t="n">
        <v>10</v>
      </c>
      <c r="Y4" s="43" t="n">
        <v>6</v>
      </c>
      <c r="Z4" s="43" t="inlineStr">
        <is>
          <t>BW30-400</t>
        </is>
      </c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inlineStr">
        <is>
          <t>Y</t>
        </is>
      </c>
      <c r="CP4" s="43" t="inlineStr">
        <is>
          <t>CO2 Removal</t>
        </is>
      </c>
      <c r="CQ4" s="43" t="n">
        <v>90</v>
      </c>
      <c r="CR4" s="43" t="n"/>
      <c r="CS4" s="43" t="n"/>
      <c r="CT4" s="44" t="n"/>
    </row>
    <row r="5" ht="26.39999961853027" customHeight="1" s="146">
      <c r="A5" s="42" t="n">
        <v>4</v>
      </c>
      <c r="B5" s="43" t="inlineStr">
        <is>
          <t>CHEM_DEGAS</t>
        </is>
      </c>
      <c r="C5" s="43" t="inlineStr">
        <is>
          <t>Y</t>
        </is>
      </c>
      <c r="D5" s="43" t="inlineStr">
        <is>
          <t>V25_CH_004</t>
        </is>
      </c>
      <c r="E5" s="43" t="inlineStr">
        <is>
          <t>V25_CH_004_CO2_PartialPressure400.pdf</t>
        </is>
      </c>
      <c r="F5" s="43" t="inlineStr">
        <is>
          <t>Y</t>
        </is>
      </c>
      <c r="G5" s="43" t="inlineStr">
        <is>
          <t>chemical/degas</t>
        </is>
      </c>
      <c r="H5" s="43" t="inlineStr">
        <is>
          <t>experimental</t>
        </is>
      </c>
      <c r="I5" s="43" t="inlineStr">
        <is>
          <t>Add Chemicals/Degas UIA readback test</t>
        </is>
      </c>
      <c r="J5" s="43" t="inlineStr">
        <is>
          <t>Not Started</t>
        </is>
      </c>
      <c r="K5" s="43" t="inlineStr">
        <is>
          <t>Run one case per fresh WAVE project; use --allow-experimental-ro.</t>
        </is>
      </c>
      <c r="L5" s="43" t="inlineStr">
        <is>
          <t>Well Water - Med Hardness</t>
        </is>
      </c>
      <c r="M5" s="43" t="n">
        <v>100</v>
      </c>
      <c r="N5" s="43" t="n">
        <v>10</v>
      </c>
      <c r="O5" s="43" t="n">
        <v>25</v>
      </c>
      <c r="P5" s="43" t="n">
        <v>35</v>
      </c>
      <c r="Q5" s="43" t="n">
        <v>1</v>
      </c>
      <c r="R5" s="43" t="n">
        <v>75</v>
      </c>
      <c r="S5" s="43" t="inlineStr">
        <is>
          <t>Specify</t>
        </is>
      </c>
      <c r="T5" s="43" t="n">
        <v>25</v>
      </c>
      <c r="U5" s="43" t="n">
        <v>0.85</v>
      </c>
      <c r="V5" s="43" t="n">
        <v>0</v>
      </c>
      <c r="W5" s="43" t="n">
        <v>1</v>
      </c>
      <c r="X5" s="43" t="n">
        <v>10</v>
      </c>
      <c r="Y5" s="43" t="n">
        <v>6</v>
      </c>
      <c r="Z5" s="43" t="inlineStr">
        <is>
          <t>BW30-400</t>
        </is>
      </c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3" t="n"/>
      <c r="BD5" s="43" t="n"/>
      <c r="BE5" s="43" t="n"/>
      <c r="BF5" s="43" t="n"/>
      <c r="BG5" s="43" t="n"/>
      <c r="BH5" s="43" t="n"/>
      <c r="BI5" s="43" t="n"/>
      <c r="BJ5" s="43" t="n"/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inlineStr">
        <is>
          <t>Y</t>
        </is>
      </c>
      <c r="CP5" s="43" t="inlineStr">
        <is>
          <t>CO2 Partial Pressure</t>
        </is>
      </c>
      <c r="CQ5" s="43" t="n">
        <v>400</v>
      </c>
      <c r="CR5" s="43" t="n"/>
      <c r="CS5" s="43" t="n"/>
      <c r="CT5" s="44" t="n"/>
    </row>
    <row r="6" ht="26.39999961853027" customHeight="1" s="146">
      <c r="A6" s="42" t="n">
        <v>5</v>
      </c>
      <c r="B6" s="43" t="inlineStr">
        <is>
          <t>CHEM_DEGAS</t>
        </is>
      </c>
      <c r="C6" s="43" t="inlineStr">
        <is>
          <t>Y</t>
        </is>
      </c>
      <c r="D6" s="43" t="inlineStr">
        <is>
          <t>V25_CH_005</t>
        </is>
      </c>
      <c r="E6" s="43" t="inlineStr">
        <is>
          <t>V25_CH_005_CO2_Concentration2.pdf</t>
        </is>
      </c>
      <c r="F6" s="43" t="inlineStr">
        <is>
          <t>Y</t>
        </is>
      </c>
      <c r="G6" s="43" t="inlineStr">
        <is>
          <t>chemical/degas</t>
        </is>
      </c>
      <c r="H6" s="43" t="inlineStr">
        <is>
          <t>experimental</t>
        </is>
      </c>
      <c r="I6" s="43" t="inlineStr">
        <is>
          <t>Add Chemicals/Degas UIA readback test</t>
        </is>
      </c>
      <c r="J6" s="43" t="inlineStr">
        <is>
          <t>Not Started</t>
        </is>
      </c>
      <c r="K6" s="43" t="inlineStr">
        <is>
          <t>Run one case per fresh WAVE project; use --allow-experimental-ro.</t>
        </is>
      </c>
      <c r="L6" s="43" t="inlineStr">
        <is>
          <t>Well Water - Med Hardness</t>
        </is>
      </c>
      <c r="M6" s="43" t="n">
        <v>100</v>
      </c>
      <c r="N6" s="43" t="n">
        <v>10</v>
      </c>
      <c r="O6" s="43" t="n">
        <v>25</v>
      </c>
      <c r="P6" s="43" t="n">
        <v>35</v>
      </c>
      <c r="Q6" s="43" t="n">
        <v>1</v>
      </c>
      <c r="R6" s="43" t="n">
        <v>75</v>
      </c>
      <c r="S6" s="43" t="inlineStr">
        <is>
          <t>Specify</t>
        </is>
      </c>
      <c r="T6" s="43" t="n">
        <v>25</v>
      </c>
      <c r="U6" s="43" t="n">
        <v>0.85</v>
      </c>
      <c r="V6" s="43" t="n">
        <v>0</v>
      </c>
      <c r="W6" s="43" t="n">
        <v>1</v>
      </c>
      <c r="X6" s="43" t="n">
        <v>10</v>
      </c>
      <c r="Y6" s="43" t="n">
        <v>6</v>
      </c>
      <c r="Z6" s="43" t="inlineStr">
        <is>
          <t>BW30-400</t>
        </is>
      </c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3" t="n"/>
      <c r="BL6" s="43" t="n"/>
      <c r="BM6" s="43" t="n"/>
      <c r="BN6" s="43" t="n"/>
      <c r="BO6" s="43" t="n"/>
      <c r="BP6" s="43" t="n"/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inlineStr">
        <is>
          <t>Y</t>
        </is>
      </c>
      <c r="CP6" s="43" t="inlineStr">
        <is>
          <t>CO2 Concentration</t>
        </is>
      </c>
      <c r="CQ6" s="43" t="n">
        <v>2</v>
      </c>
      <c r="CR6" s="43" t="n"/>
      <c r="CS6" s="43" t="n"/>
      <c r="CT6" s="44" t="n"/>
    </row>
    <row r="7" ht="26.39999961853027" customHeight="1" s="146">
      <c r="A7" s="42" t="n">
        <v>6</v>
      </c>
      <c r="B7" s="43" t="inlineStr">
        <is>
          <t>CHEM_DEGAS</t>
        </is>
      </c>
      <c r="C7" s="43" t="inlineStr">
        <is>
          <t>Y</t>
        </is>
      </c>
      <c r="D7" s="43" t="inlineStr">
        <is>
          <t>V25_CH_006</t>
        </is>
      </c>
      <c r="E7" s="43" t="inlineStr">
        <is>
          <t>V25_CH_006_NaOH30_pH85.pdf</t>
        </is>
      </c>
      <c r="F7" s="43" t="inlineStr">
        <is>
          <t>Y</t>
        </is>
      </c>
      <c r="G7" s="43" t="inlineStr">
        <is>
          <t>chemical/degas</t>
        </is>
      </c>
      <c r="H7" s="43" t="inlineStr">
        <is>
          <t>experimental</t>
        </is>
      </c>
      <c r="I7" s="43" t="inlineStr">
        <is>
          <t>Add Chemicals/Degas UIA readback test</t>
        </is>
      </c>
      <c r="J7" s="43" t="inlineStr">
        <is>
          <t>Not Started</t>
        </is>
      </c>
      <c r="K7" s="43" t="inlineStr">
        <is>
          <t>Run one case per fresh WAVE project; use --allow-experimental-ro.</t>
        </is>
      </c>
      <c r="L7" s="43" t="inlineStr">
        <is>
          <t>Well Water - Med Hardness</t>
        </is>
      </c>
      <c r="M7" s="43" t="n">
        <v>100</v>
      </c>
      <c r="N7" s="43" t="n">
        <v>10</v>
      </c>
      <c r="O7" s="43" t="n">
        <v>25</v>
      </c>
      <c r="P7" s="43" t="n">
        <v>35</v>
      </c>
      <c r="Q7" s="43" t="n">
        <v>1</v>
      </c>
      <c r="R7" s="43" t="n">
        <v>75</v>
      </c>
      <c r="S7" s="43" t="inlineStr">
        <is>
          <t>Specify</t>
        </is>
      </c>
      <c r="T7" s="43" t="n">
        <v>25</v>
      </c>
      <c r="U7" s="43" t="n">
        <v>0.85</v>
      </c>
      <c r="V7" s="43" t="n">
        <v>0</v>
      </c>
      <c r="W7" s="43" t="n">
        <v>1</v>
      </c>
      <c r="X7" s="43" t="n">
        <v>10</v>
      </c>
      <c r="Y7" s="43" t="n">
        <v>6</v>
      </c>
      <c r="Z7" s="43" t="inlineStr">
        <is>
          <t>BW30-400</t>
        </is>
      </c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43" t="n"/>
      <c r="BW7" s="43" t="n"/>
      <c r="BX7" s="43" t="n"/>
      <c r="BY7" s="43" t="n"/>
      <c r="BZ7" s="43" t="n"/>
      <c r="CA7" s="43" t="n"/>
      <c r="CB7" s="43" t="n"/>
      <c r="CC7" s="43" t="n"/>
      <c r="CD7" s="43" t="n"/>
      <c r="CE7" s="43" t="n"/>
      <c r="CF7" s="43" t="n"/>
      <c r="CG7" s="43" t="n"/>
      <c r="CH7" s="43" t="n"/>
      <c r="CI7" s="43" t="n"/>
      <c r="CJ7" s="43" t="n"/>
      <c r="CK7" s="43" t="n"/>
      <c r="CL7" s="43" t="n"/>
      <c r="CM7" s="43" t="n"/>
      <c r="CN7" s="43" t="n"/>
      <c r="CO7" s="43" t="n"/>
      <c r="CP7" s="43" t="n"/>
      <c r="CQ7" s="43" t="n"/>
      <c r="CR7" s="43" t="inlineStr">
        <is>
          <t>Y</t>
        </is>
      </c>
      <c r="CS7" s="43" t="inlineStr">
        <is>
          <t>NaOH (30)</t>
        </is>
      </c>
      <c r="CT7" s="44" t="n">
        <v>8.5</v>
      </c>
    </row>
    <row r="8" ht="26.39999961853027" customHeight="1" s="146">
      <c r="A8" s="42" t="n">
        <v>7</v>
      </c>
      <c r="B8" s="43" t="inlineStr">
        <is>
          <t>CHEM_DEGAS</t>
        </is>
      </c>
      <c r="C8" s="43" t="inlineStr">
        <is>
          <t>Y</t>
        </is>
      </c>
      <c r="D8" s="43" t="inlineStr">
        <is>
          <t>V25_CH_007</t>
        </is>
      </c>
      <c r="E8" s="43" t="inlineStr">
        <is>
          <t>V25_CH_007_NaOH50_pH90.pdf</t>
        </is>
      </c>
      <c r="F8" s="43" t="inlineStr">
        <is>
          <t>Y</t>
        </is>
      </c>
      <c r="G8" s="43" t="inlineStr">
        <is>
          <t>chemical/degas</t>
        </is>
      </c>
      <c r="H8" s="43" t="inlineStr">
        <is>
          <t>experimental</t>
        </is>
      </c>
      <c r="I8" s="43" t="inlineStr">
        <is>
          <t>Add Chemicals/Degas UIA readback test</t>
        </is>
      </c>
      <c r="J8" s="43" t="inlineStr">
        <is>
          <t>Not Started</t>
        </is>
      </c>
      <c r="K8" s="43" t="inlineStr">
        <is>
          <t>Run one case per fresh WAVE project; use --allow-experimental-ro.</t>
        </is>
      </c>
      <c r="L8" s="43" t="inlineStr">
        <is>
          <t>Well Water - Med Hardness</t>
        </is>
      </c>
      <c r="M8" s="43" t="n">
        <v>100</v>
      </c>
      <c r="N8" s="43" t="n">
        <v>10</v>
      </c>
      <c r="O8" s="43" t="n">
        <v>25</v>
      </c>
      <c r="P8" s="43" t="n">
        <v>35</v>
      </c>
      <c r="Q8" s="43" t="n">
        <v>1</v>
      </c>
      <c r="R8" s="43" t="n">
        <v>75</v>
      </c>
      <c r="S8" s="43" t="inlineStr">
        <is>
          <t>Specify</t>
        </is>
      </c>
      <c r="T8" s="43" t="n">
        <v>25</v>
      </c>
      <c r="U8" s="43" t="n">
        <v>0.85</v>
      </c>
      <c r="V8" s="43" t="n">
        <v>0</v>
      </c>
      <c r="W8" s="43" t="n">
        <v>1</v>
      </c>
      <c r="X8" s="43" t="n">
        <v>10</v>
      </c>
      <c r="Y8" s="43" t="n">
        <v>6</v>
      </c>
      <c r="Z8" s="43" t="inlineStr">
        <is>
          <t>BW30-400</t>
        </is>
      </c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3" t="n"/>
      <c r="BL8" s="43" t="n"/>
      <c r="BM8" s="43" t="n"/>
      <c r="BN8" s="43" t="n"/>
      <c r="BO8" s="43" t="n"/>
      <c r="BP8" s="43" t="n"/>
      <c r="BQ8" s="43" t="n"/>
      <c r="BR8" s="43" t="n"/>
      <c r="BS8" s="43" t="n"/>
      <c r="BT8" s="43" t="n"/>
      <c r="BU8" s="43" t="n"/>
      <c r="BV8" s="43" t="n"/>
      <c r="BW8" s="43" t="n"/>
      <c r="BX8" s="43" t="n"/>
      <c r="BY8" s="43" t="n"/>
      <c r="BZ8" s="43" t="n"/>
      <c r="CA8" s="43" t="n"/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43" t="n"/>
      <c r="CL8" s="43" t="n"/>
      <c r="CM8" s="43" t="n"/>
      <c r="CN8" s="43" t="n"/>
      <c r="CO8" s="43" t="n"/>
      <c r="CP8" s="43" t="n"/>
      <c r="CQ8" s="43" t="n"/>
      <c r="CR8" s="43" t="inlineStr">
        <is>
          <t>Y</t>
        </is>
      </c>
      <c r="CS8" s="43" t="inlineStr">
        <is>
          <t>NaOH (50)</t>
        </is>
      </c>
      <c r="CT8" s="44" t="n">
        <v>9</v>
      </c>
    </row>
    <row r="9" ht="26.39999961853027" customHeight="1" s="146">
      <c r="A9" s="42" t="n">
        <v>8</v>
      </c>
      <c r="B9" s="43" t="inlineStr">
        <is>
          <t>CHEM_DEGAS</t>
        </is>
      </c>
      <c r="C9" s="43" t="inlineStr">
        <is>
          <t>Y</t>
        </is>
      </c>
      <c r="D9" s="43" t="inlineStr">
        <is>
          <t>V25_CH_008</t>
        </is>
      </c>
      <c r="E9" s="43" t="inlineStr">
        <is>
          <t>V25_CH_008_HCl32_and_Degas90.pdf</t>
        </is>
      </c>
      <c r="F9" s="43" t="inlineStr">
        <is>
          <t>Y</t>
        </is>
      </c>
      <c r="G9" s="43" t="inlineStr">
        <is>
          <t>chemical/degas</t>
        </is>
      </c>
      <c r="H9" s="43" t="inlineStr">
        <is>
          <t>experimental</t>
        </is>
      </c>
      <c r="I9" s="43" t="inlineStr">
        <is>
          <t>Add Chemicals/Degas UIA readback test</t>
        </is>
      </c>
      <c r="J9" s="43" t="inlineStr">
        <is>
          <t>Not Started</t>
        </is>
      </c>
      <c r="K9" s="43" t="inlineStr">
        <is>
          <t>Run one case per fresh WAVE project; use --allow-experimental-ro.</t>
        </is>
      </c>
      <c r="L9" s="43" t="inlineStr">
        <is>
          <t>Well Water - High Hardness</t>
        </is>
      </c>
      <c r="M9" s="43" t="n">
        <v>100</v>
      </c>
      <c r="N9" s="43" t="n">
        <v>10</v>
      </c>
      <c r="O9" s="43" t="n">
        <v>25</v>
      </c>
      <c r="P9" s="43" t="n">
        <v>35</v>
      </c>
      <c r="Q9" s="43" t="n">
        <v>1</v>
      </c>
      <c r="R9" s="43" t="n">
        <v>70</v>
      </c>
      <c r="S9" s="43" t="inlineStr">
        <is>
          <t>Specify</t>
        </is>
      </c>
      <c r="T9" s="43" t="n">
        <v>25</v>
      </c>
      <c r="U9" s="43" t="n">
        <v>0.85</v>
      </c>
      <c r="V9" s="43" t="n">
        <v>0</v>
      </c>
      <c r="W9" s="43" t="n">
        <v>1</v>
      </c>
      <c r="X9" s="43" t="n">
        <v>10</v>
      </c>
      <c r="Y9" s="43" t="n">
        <v>6</v>
      </c>
      <c r="Z9" s="43" t="inlineStr">
        <is>
          <t>BW30-400</t>
        </is>
      </c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  <c r="BE9" s="43" t="n"/>
      <c r="BF9" s="43" t="n"/>
      <c r="BG9" s="43" t="n"/>
      <c r="BH9" s="43" t="n"/>
      <c r="BI9" s="43" t="n"/>
      <c r="BJ9" s="43" t="n"/>
      <c r="BK9" s="43" t="n"/>
      <c r="BL9" s="43" t="n"/>
      <c r="BM9" s="43" t="n"/>
      <c r="BN9" s="43" t="n"/>
      <c r="BO9" s="43" t="n"/>
      <c r="BP9" s="43" t="n"/>
      <c r="BQ9" s="43" t="n"/>
      <c r="BR9" s="43" t="n"/>
      <c r="BS9" s="43" t="n"/>
      <c r="BT9" s="43" t="n"/>
      <c r="BU9" s="43" t="n"/>
      <c r="BV9" s="43" t="n"/>
      <c r="BW9" s="43" t="n"/>
      <c r="BX9" s="43" t="n"/>
      <c r="BY9" s="43" t="n"/>
      <c r="BZ9" s="43" t="n"/>
      <c r="CA9" s="43" t="n"/>
      <c r="CB9" s="43" t="n"/>
      <c r="CC9" s="43" t="n"/>
      <c r="CD9" s="43" t="n"/>
      <c r="CE9" s="43" t="n"/>
      <c r="CF9" s="43" t="n"/>
      <c r="CG9" s="43" t="n"/>
      <c r="CH9" s="43" t="n"/>
      <c r="CI9" s="43" t="n"/>
      <c r="CJ9" s="43" t="n"/>
      <c r="CK9" s="43" t="n"/>
      <c r="CL9" s="43" t="inlineStr">
        <is>
          <t>Y</t>
        </is>
      </c>
      <c r="CM9" s="43" t="inlineStr">
        <is>
          <t>HCl (32)</t>
        </is>
      </c>
      <c r="CN9" s="43" t="n">
        <v>5.5</v>
      </c>
      <c r="CO9" s="43" t="inlineStr">
        <is>
          <t>Y</t>
        </is>
      </c>
      <c r="CP9" s="43" t="inlineStr">
        <is>
          <t>CO2 Removal</t>
        </is>
      </c>
      <c r="CQ9" s="43" t="n">
        <v>90</v>
      </c>
      <c r="CR9" s="43" t="n"/>
      <c r="CS9" s="43" t="n"/>
      <c r="CT9" s="44" t="n"/>
    </row>
    <row r="10" ht="26.39999961853027" customHeight="1" s="146">
      <c r="A10" s="45" t="n">
        <v>9</v>
      </c>
      <c r="B10" s="46" t="inlineStr">
        <is>
          <t>CHEM_DEGAS</t>
        </is>
      </c>
      <c r="C10" s="46" t="inlineStr">
        <is>
          <t>Y</t>
        </is>
      </c>
      <c r="D10" s="46" t="inlineStr">
        <is>
          <t>V25_CH_009</t>
        </is>
      </c>
      <c r="E10" s="46" t="inlineStr">
        <is>
          <t>V25_CH_009_NaOH30_and_Degas400.pdf</t>
        </is>
      </c>
      <c r="F10" s="46" t="inlineStr">
        <is>
          <t>Y</t>
        </is>
      </c>
      <c r="G10" s="46" t="inlineStr">
        <is>
          <t>chemical/degas</t>
        </is>
      </c>
      <c r="H10" s="46" t="inlineStr">
        <is>
          <t>experimental</t>
        </is>
      </c>
      <c r="I10" s="46" t="inlineStr">
        <is>
          <t>Add Chemicals/Degas UIA readback test</t>
        </is>
      </c>
      <c r="J10" s="46" t="inlineStr">
        <is>
          <t>Not Started</t>
        </is>
      </c>
      <c r="K10" s="46" t="inlineStr">
        <is>
          <t>Run one case per fresh WAVE project; use --allow-experimental-ro.</t>
        </is>
      </c>
      <c r="L10" s="46" t="inlineStr">
        <is>
          <t>Well Water - Med Hardness</t>
        </is>
      </c>
      <c r="M10" s="46" t="n">
        <v>100</v>
      </c>
      <c r="N10" s="46" t="n">
        <v>10</v>
      </c>
      <c r="O10" s="46" t="n">
        <v>25</v>
      </c>
      <c r="P10" s="46" t="n">
        <v>35</v>
      </c>
      <c r="Q10" s="46" t="n">
        <v>1</v>
      </c>
      <c r="R10" s="46" t="n">
        <v>75</v>
      </c>
      <c r="S10" s="46" t="inlineStr">
        <is>
          <t>Specify</t>
        </is>
      </c>
      <c r="T10" s="46" t="n">
        <v>25</v>
      </c>
      <c r="U10" s="46" t="n">
        <v>0.85</v>
      </c>
      <c r="V10" s="46" t="n">
        <v>0</v>
      </c>
      <c r="W10" s="46" t="n">
        <v>1</v>
      </c>
      <c r="X10" s="46" t="n">
        <v>10</v>
      </c>
      <c r="Y10" s="46" t="n">
        <v>6</v>
      </c>
      <c r="Z10" s="46" t="inlineStr">
        <is>
          <t>BW30-400</t>
        </is>
      </c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  <c r="CO10" s="46" t="inlineStr">
        <is>
          <t>Y</t>
        </is>
      </c>
      <c r="CP10" s="46" t="inlineStr">
        <is>
          <t>CO2 Partial Pressure</t>
        </is>
      </c>
      <c r="CQ10" s="46" t="n">
        <v>400</v>
      </c>
      <c r="CR10" s="46" t="inlineStr">
        <is>
          <t>Y</t>
        </is>
      </c>
      <c r="CS10" s="46" t="inlineStr">
        <is>
          <t>NaOH (30)</t>
        </is>
      </c>
      <c r="CT10" s="47" t="n">
        <v>8.5</v>
      </c>
    </row>
  </sheetData>
  <conditionalFormatting sqref="J2:J10">
    <cfRule type="expression" priority="1" dxfId="0">
      <formula>J2="Passed"</formula>
    </cfRule>
    <cfRule type="expression" priority="2" dxfId="1">
      <formula>J2="Failed"</formula>
    </cfRule>
  </conditionalFormatting>
  <conditionalFormatting sqref="H2:H10">
    <cfRule type="expression" priority="3" dxfId="2">
      <formula>H2="experimental"</formula>
    </cfRule>
  </conditionalFormatting>
  <dataValidations count="17">
    <dataValidation sqref="C2:C10" showDropDown="0" showInputMessage="0" showErrorMessage="0" allowBlank="0" type="list">
      <formula1>"Y,N"</formula1>
    </dataValidation>
    <dataValidation sqref="F2:F10" showDropDown="0" showInputMessage="0" showErrorMessage="0" allowBlank="0" type="list">
      <formula1>"Y,N"</formula1>
    </dataValidation>
    <dataValidation sqref="J2:J10" showDropDown="0" showInputMessage="0" showErrorMessage="0" allowBlank="0" type="list">
      <formula1>"Not Started,Running,Passed,Failed,Skipped"</formula1>
    </dataValidation>
    <dataValidation sqref="S2:S10" showDropDown="0" showInputMessage="0" showErrorMessage="0" allowBlank="0" type="list">
      <formula1>"Minimum,Design,Maximum,Specify"</formula1>
    </dataValidation>
    <dataValidation sqref="AY2:AY10" showDropDown="0" showInputMessage="0" showErrorMessage="0" allowBlank="0" type="list">
      <formula1>"Minimum,Design,Maximum,Specify"</formula1>
    </dataValidation>
    <dataValidation sqref="CL2:CL10" showDropDown="0" showInputMessage="0" showErrorMessage="0" allowBlank="0" type="list">
      <formula1>"Y,N"</formula1>
    </dataValidation>
    <dataValidation sqref="CO2:CO10" showDropDown="0" showInputMessage="0" showErrorMessage="0" allowBlank="0" type="list">
      <formula1>"Y,N"</formula1>
    </dataValidation>
    <dataValidation sqref="CR2:CR10" showDropDown="0" showInputMessage="0" showErrorMessage="0" allowBlank="0" type="list">
      <formula1>"Y,N"</formula1>
    </dataValidation>
    <dataValidation sqref="CM2:CM10" showDropDown="0" showInputMessage="0" showErrorMessage="0" allowBlank="0" type="list">
      <formula1>"HCl (32),H2SO4 (98)"</formula1>
    </dataValidation>
    <dataValidation sqref="CP2:CP10" showDropDown="0" showInputMessage="0" showErrorMessage="0" allowBlank="0" type="list">
      <formula1>"CO2 Removal,CO2 Partial Pressure,CO2 Concentration"</formula1>
    </dataValidation>
    <dataValidation sqref="CS2:CS10" showDropDown="0" showInputMessage="0" showErrorMessage="0" allowBlank="0" type="list">
      <formula1>"NaOH (30),NaOH (50)"</formula1>
    </dataValidation>
    <dataValidation sqref="CU2:CU1000" showDropDown="0" showInputMessage="0" showErrorMessage="0" allowBlank="0" type="list">
      <formula1>"Y,N"</formula1>
    </dataValidation>
    <dataValidation sqref="CX2:CX1000" showDropDown="0" showInputMessage="0" showErrorMessage="0" allowBlank="0" type="list">
      <formula1>"Y,N"</formula1>
    </dataValidation>
    <dataValidation sqref="DE2:DE1000" showDropDown="0" showInputMessage="0" showErrorMessage="0" allowBlank="0" type="list">
      <formula1>"Y,N"</formula1>
    </dataValidation>
    <dataValidation sqref="DH2:DH1000" showDropDown="0" showInputMessage="0" showErrorMessage="0" allowBlank="0" type="list">
      <formula1>"Y,N"</formula1>
    </dataValidation>
    <dataValidation sqref="DA2:DA1000" showDropDown="0" showInputMessage="0" showErrorMessage="0" allowBlank="0" type="list">
      <formula1>"Minimum,Design,Maximum,Specify"</formula1>
    </dataValidation>
    <dataValidation sqref="DC2:DC1000" showDropDown="0" showInputMessage="0" showErrorMessage="0" allowBlank="0" type="list">
      <formula1>"Basic default,Specify,Based on RO config"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I6"/>
  <sheetViews>
    <sheetView workbookViewId="0">
      <selection activeCell="A1" sqref="A1"/>
    </sheetView>
  </sheetViews>
  <sheetFormatPr baseColWidth="8" defaultRowHeight="15"/>
  <cols>
    <col width="12" customWidth="1" style="146" min="1" max="1"/>
    <col width="12" customWidth="1" style="146" min="2" max="2"/>
    <col width="12" customWidth="1" style="146" min="3" max="3"/>
    <col width="17" customWidth="1" style="146" min="4" max="4"/>
    <col width="42" customWidth="1" style="146" min="5" max="5"/>
    <col width="17" customWidth="1" style="146" min="6" max="6"/>
    <col width="17" customWidth="1" style="146" min="7" max="7"/>
    <col width="17" customWidth="1" style="146" min="8" max="8"/>
    <col width="35" customWidth="1" style="146" min="9" max="9"/>
    <col width="16" customWidth="1" style="146" min="10" max="10"/>
    <col width="40" customWidth="1" style="146" min="11" max="11"/>
    <col width="30" customWidth="1" style="146" min="12" max="12"/>
    <col width="16" customWidth="1" style="146" min="13" max="13"/>
    <col width="16" customWidth="1" style="146" min="14" max="14"/>
    <col width="16" customWidth="1" style="146" min="15" max="15"/>
    <col width="16" customWidth="1" style="146" min="16" max="16"/>
    <col width="16" customWidth="1" style="146" min="17" max="17"/>
    <col width="16" customWidth="1" style="146" min="18" max="18"/>
    <col width="16" customWidth="1" style="146" min="19" max="19"/>
    <col width="16" customWidth="1" style="146" min="20" max="20"/>
    <col width="16" customWidth="1" style="146" min="21" max="21"/>
    <col width="16" customWidth="1" style="146" min="22" max="22"/>
    <col width="16" customWidth="1" style="146" min="23" max="23"/>
    <col width="16" customWidth="1" style="146" min="24" max="24"/>
    <col width="16" customWidth="1" style="146" min="25" max="25"/>
    <col width="16" customWidth="1" style="146" min="26" max="26"/>
    <col width="16" customWidth="1" style="146" min="27" max="27"/>
    <col width="16" customWidth="1" style="146" min="28" max="28"/>
    <col width="16" customWidth="1" style="146" min="29" max="29"/>
    <col width="16" customWidth="1" style="146" min="30" max="30"/>
    <col width="16" customWidth="1" style="146" min="31" max="31"/>
    <col width="16" customWidth="1" style="146" min="32" max="32"/>
    <col width="16" customWidth="1" style="146" min="33" max="33"/>
    <col width="16" customWidth="1" style="146" min="34" max="34"/>
    <col width="16" customWidth="1" style="146" min="35" max="35"/>
    <col width="16" customWidth="1" style="146" min="36" max="36"/>
    <col width="16" customWidth="1" style="146" min="37" max="37"/>
    <col width="16" customWidth="1" style="146" min="38" max="38"/>
    <col width="16" customWidth="1" style="146" min="39" max="39"/>
    <col width="16" customWidth="1" style="146" min="40" max="40"/>
    <col width="16" customWidth="1" style="146" min="41" max="41"/>
    <col width="16" customWidth="1" style="146" min="42" max="42"/>
    <col width="16" customWidth="1" style="146" min="43" max="43"/>
    <col width="16" customWidth="1" style="146" min="44" max="44"/>
    <col width="16" customWidth="1" style="146" min="45" max="45"/>
    <col width="16" customWidth="1" style="146" min="46" max="46"/>
    <col width="16" customWidth="1" style="146" min="47" max="47"/>
    <col width="16" customWidth="1" style="146" min="48" max="48"/>
    <col width="16" customWidth="1" style="146" min="49" max="49"/>
    <col width="16" customWidth="1" style="146" min="50" max="50"/>
    <col width="16" customWidth="1" style="146" min="51" max="51"/>
    <col width="16" customWidth="1" style="146" min="52" max="52"/>
    <col width="16" customWidth="1" style="146" min="53" max="53"/>
    <col width="16" customWidth="1" style="146" min="54" max="54"/>
    <col width="16" customWidth="1" style="146" min="55" max="55"/>
    <col width="16" customWidth="1" style="146" min="56" max="56"/>
    <col width="16" customWidth="1" style="146" min="57" max="57"/>
    <col width="16" customWidth="1" style="146" min="58" max="58"/>
    <col width="16" customWidth="1" style="146" min="59" max="59"/>
    <col width="16" customWidth="1" style="146" min="60" max="60"/>
    <col width="16" customWidth="1" style="146" min="61" max="61"/>
    <col width="16" customWidth="1" style="146" min="62" max="62"/>
    <col width="16" customWidth="1" style="146" min="63" max="63"/>
    <col width="16" customWidth="1" style="146" min="64" max="64"/>
    <col width="16" customWidth="1" style="146" min="65" max="65"/>
    <col width="16" customWidth="1" style="146" min="66" max="66"/>
    <col width="16" customWidth="1" style="146" min="67" max="67"/>
    <col width="16" customWidth="1" style="146" min="68" max="68"/>
    <col width="16" customWidth="1" style="146" min="69" max="69"/>
    <col width="16" customWidth="1" style="146" min="70" max="70"/>
    <col width="16" customWidth="1" style="146" min="71" max="71"/>
    <col width="16" customWidth="1" style="146" min="72" max="72"/>
    <col width="16" customWidth="1" style="146" min="73" max="73"/>
    <col width="16" customWidth="1" style="146" min="74" max="74"/>
    <col width="16" customWidth="1" style="146" min="75" max="75"/>
    <col width="16" customWidth="1" style="146" min="76" max="76"/>
    <col width="16" customWidth="1" style="146" min="77" max="77"/>
    <col width="16" customWidth="1" style="146" min="78" max="78"/>
    <col width="16" customWidth="1" style="146" min="79" max="79"/>
    <col width="16" customWidth="1" style="146" min="80" max="80"/>
    <col width="16" customWidth="1" style="146" min="81" max="81"/>
    <col width="16" customWidth="1" style="146" min="82" max="82"/>
    <col width="16" customWidth="1" style="146" min="83" max="83"/>
    <col width="16" customWidth="1" style="146" min="84" max="84"/>
    <col width="16" customWidth="1" style="146" min="85" max="85"/>
    <col width="16" customWidth="1" style="146" min="86" max="86"/>
    <col width="16" customWidth="1" style="146" min="87" max="87"/>
    <col width="16" customWidth="1" style="146" min="88" max="88"/>
    <col width="16" customWidth="1" style="146" min="89" max="89"/>
    <col width="16" customWidth="1" style="146" min="90" max="90"/>
    <col width="16" customWidth="1" style="146" min="91" max="91"/>
    <col width="16" customWidth="1" style="146" min="92" max="92"/>
    <col width="16" customWidth="1" style="146" min="93" max="93"/>
    <col width="16" customWidth="1" style="146" min="94" max="94"/>
    <col width="16" customWidth="1" style="146" min="95" max="95"/>
    <col width="16" customWidth="1" style="146" min="96" max="96"/>
    <col width="16" customWidth="1" style="146" min="97" max="97"/>
    <col width="16" customWidth="1" style="146" min="98" max="98"/>
    <col width="17" customWidth="1" style="146" min="99" max="99"/>
    <col width="28" customWidth="1" style="146" min="100" max="100"/>
    <col width="20" customWidth="1" style="146" min="101" max="101"/>
    <col width="17" customWidth="1" style="146" min="102" max="102"/>
    <col width="28" customWidth="1" style="146" min="103" max="103"/>
    <col width="20" customWidth="1" style="146" min="104" max="104"/>
    <col width="24" customWidth="1" style="146" min="105" max="105"/>
    <col width="20" customWidth="1" style="146" min="106" max="106"/>
    <col width="24" customWidth="1" style="146" min="107" max="107"/>
    <col width="20" customWidth="1" style="146" min="108" max="108"/>
    <col width="17" customWidth="1" style="146" min="109" max="109"/>
    <col width="28" customWidth="1" style="146" min="110" max="110"/>
    <col width="20" customWidth="1" style="146" min="111" max="111"/>
    <col width="17" customWidth="1" style="146" min="112" max="112"/>
    <col width="20" customWidth="1" style="146" min="113" max="113"/>
  </cols>
  <sheetData>
    <row r="1" ht="34" customHeight="1" s="146">
      <c r="A1" s="12" t="inlineStr">
        <is>
          <t>Batch_Order</t>
        </is>
      </c>
      <c r="B1" s="13" t="inlineStr">
        <is>
          <t>Batch_Group</t>
        </is>
      </c>
      <c r="C1" s="13" t="inlineStr">
        <is>
          <t>Run_Enabled</t>
        </is>
      </c>
      <c r="D1" s="13" t="inlineStr">
        <is>
          <t>Case_ID</t>
        </is>
      </c>
      <c r="E1" s="13" t="inlineStr">
        <is>
          <t>Recommended_PDF_Name</t>
        </is>
      </c>
      <c r="F1" s="13" t="inlineStr">
        <is>
          <t>Fresh_Project_Required</t>
        </is>
      </c>
      <c r="G1" s="13" t="inlineStr">
        <is>
          <t>Test_Lane</t>
        </is>
      </c>
      <c r="H1" s="13" t="inlineStr">
        <is>
          <t>Expected_Tier</t>
        </is>
      </c>
      <c r="I1" s="13" t="inlineStr">
        <is>
          <t>Test_Purpose</t>
        </is>
      </c>
      <c r="J1" s="13" t="inlineStr">
        <is>
          <t>Run_Status</t>
        </is>
      </c>
      <c r="K1" s="13" t="inlineStr">
        <is>
          <t>Notes</t>
        </is>
      </c>
      <c r="L1" s="13" t="inlineStr">
        <is>
          <t>WAVE_Library_Selection</t>
        </is>
      </c>
      <c r="M1" s="13" t="inlineStr">
        <is>
          <t>Feed_Flow_m3h</t>
        </is>
      </c>
      <c r="N1" s="13" t="inlineStr">
        <is>
          <t>Temperature_Min_C</t>
        </is>
      </c>
      <c r="O1" s="13" t="inlineStr">
        <is>
          <t>Temperature_Design_C</t>
        </is>
      </c>
      <c r="P1" s="13" t="inlineStr">
        <is>
          <t>Temperature_Max_C</t>
        </is>
      </c>
      <c r="Q1" s="13" t="inlineStr">
        <is>
          <t>Pass_Count</t>
        </is>
      </c>
      <c r="R1" s="13" t="inlineStr">
        <is>
          <t>Pass1_Recovery_pct</t>
        </is>
      </c>
      <c r="S1" s="13" t="inlineStr">
        <is>
          <t>Pass1_Temperature_Mode</t>
        </is>
      </c>
      <c r="T1" s="13" t="inlineStr">
        <is>
          <t>Pass1_Temperature_C</t>
        </is>
      </c>
      <c r="U1" s="13" t="inlineStr">
        <is>
          <t>Pass1_Flow_Factor</t>
        </is>
      </c>
      <c r="V1" s="13" t="inlineStr">
        <is>
          <t>Pass1_Permeate_Back_Pressure_bar</t>
        </is>
      </c>
      <c r="W1" s="13" t="inlineStr">
        <is>
          <t>Pass1_Stage_Count</t>
        </is>
      </c>
      <c r="X1" s="13" t="inlineStr">
        <is>
          <t>P1S1_PV</t>
        </is>
      </c>
      <c r="Y1" s="13" t="inlineStr">
        <is>
          <t>P1S1_Elements_per_PV</t>
        </is>
      </c>
      <c r="Z1" s="13" t="inlineStr">
        <is>
          <t>P1S1_Membrane</t>
        </is>
      </c>
      <c r="AA1" s="13" t="inlineStr">
        <is>
          <t>P1S1_Stage_Back_Pressure_bar</t>
        </is>
      </c>
      <c r="AB1" s="13" t="inlineStr">
        <is>
          <t>P1S1_Boost_Pressure_bar</t>
        </is>
      </c>
      <c r="AC1" s="13" t="inlineStr">
        <is>
          <t>P1S1_Flow_Factor</t>
        </is>
      </c>
      <c r="AD1" s="13" t="inlineStr">
        <is>
          <t>P1S2_PV</t>
        </is>
      </c>
      <c r="AE1" s="13" t="inlineStr">
        <is>
          <t>P1S2_Elements_per_PV</t>
        </is>
      </c>
      <c r="AF1" s="13" t="inlineStr">
        <is>
          <t>P1S2_Membrane</t>
        </is>
      </c>
      <c r="AG1" s="13" t="inlineStr">
        <is>
          <t>P1S2_Stage_Back_Pressure_bar</t>
        </is>
      </c>
      <c r="AH1" s="13" t="inlineStr">
        <is>
          <t>P1S2_Boost_Pressure_bar</t>
        </is>
      </c>
      <c r="AI1" s="13" t="inlineStr">
        <is>
          <t>P1S2_Flow_Factor</t>
        </is>
      </c>
      <c r="AJ1" s="13" t="inlineStr">
        <is>
          <t>P1S3_PV</t>
        </is>
      </c>
      <c r="AK1" s="13" t="inlineStr">
        <is>
          <t>P1S3_Elements_per_PV</t>
        </is>
      </c>
      <c r="AL1" s="13" t="inlineStr">
        <is>
          <t>P1S3_Membrane</t>
        </is>
      </c>
      <c r="AM1" s="13" t="inlineStr">
        <is>
          <t>P1S3_Stage_Back_Pressure_bar</t>
        </is>
      </c>
      <c r="AN1" s="13" t="inlineStr">
        <is>
          <t>P1S3_Boost_Pressure_bar</t>
        </is>
      </c>
      <c r="AO1" s="13" t="inlineStr">
        <is>
          <t>P1S3_Flow_Factor</t>
        </is>
      </c>
      <c r="AP1" s="13" t="inlineStr">
        <is>
          <t>P1S4_PV</t>
        </is>
      </c>
      <c r="AQ1" s="13" t="inlineStr">
        <is>
          <t>P1S4_Elements_per_PV</t>
        </is>
      </c>
      <c r="AR1" s="13" t="inlineStr">
        <is>
          <t>P1S4_Membrane</t>
        </is>
      </c>
      <c r="AS1" s="13" t="inlineStr">
        <is>
          <t>P1S4_Stage_Back_Pressure_bar</t>
        </is>
      </c>
      <c r="AT1" s="13" t="inlineStr">
        <is>
          <t>P1S4_Boost_Pressure_bar</t>
        </is>
      </c>
      <c r="AU1" s="13" t="inlineStr">
        <is>
          <t>P1S4_Flow_Factor</t>
        </is>
      </c>
      <c r="AV1" s="13" t="inlineStr">
        <is>
          <t>P1S5_PV</t>
        </is>
      </c>
      <c r="AW1" s="13" t="inlineStr">
        <is>
          <t>P1S5_Elements_per_PV</t>
        </is>
      </c>
      <c r="AX1" s="13" t="inlineStr">
        <is>
          <t>P1S5_Membrane</t>
        </is>
      </c>
      <c r="AY1" s="13" t="inlineStr">
        <is>
          <t>P1S5_Stage_Back_Pressure_bar</t>
        </is>
      </c>
      <c r="AZ1" s="13" t="inlineStr">
        <is>
          <t>P1S5_Boost_Pressure_bar</t>
        </is>
      </c>
      <c r="BA1" s="13" t="inlineStr">
        <is>
          <t>P1S5_Flow_Factor</t>
        </is>
      </c>
      <c r="BB1" s="13" t="inlineStr">
        <is>
          <t>Pass2_Recovery_pct</t>
        </is>
      </c>
      <c r="BC1" s="13" t="inlineStr">
        <is>
          <t>Pass2_Temperature_Mode</t>
        </is>
      </c>
      <c r="BD1" s="13" t="inlineStr">
        <is>
          <t>Pass2_Temperature_C</t>
        </is>
      </c>
      <c r="BE1" s="13" t="inlineStr">
        <is>
          <t>Pass2_Flow_Factor</t>
        </is>
      </c>
      <c r="BF1" s="13" t="inlineStr">
        <is>
          <t>Pass2_Permeate_Back_Pressure_bar</t>
        </is>
      </c>
      <c r="BG1" s="13" t="inlineStr">
        <is>
          <t>Pass2_Stage_Count</t>
        </is>
      </c>
      <c r="BH1" s="13" t="inlineStr">
        <is>
          <t>P2S1_PV</t>
        </is>
      </c>
      <c r="BI1" s="13" t="inlineStr">
        <is>
          <t>P2S1_Elements_per_PV</t>
        </is>
      </c>
      <c r="BJ1" s="13" t="inlineStr">
        <is>
          <t>P2S1_Membrane</t>
        </is>
      </c>
      <c r="BK1" s="13" t="inlineStr">
        <is>
          <t>P2S1_Stage_Back_Pressure_bar</t>
        </is>
      </c>
      <c r="BL1" s="13" t="inlineStr">
        <is>
          <t>P2S1_Boost_Pressure_bar</t>
        </is>
      </c>
      <c r="BM1" s="13" t="inlineStr">
        <is>
          <t>P2S1_Flow_Factor</t>
        </is>
      </c>
      <c r="BN1" s="13" t="inlineStr">
        <is>
          <t>P2S2_PV</t>
        </is>
      </c>
      <c r="BO1" s="13" t="inlineStr">
        <is>
          <t>P2S2_Elements_per_PV</t>
        </is>
      </c>
      <c r="BP1" s="13" t="inlineStr">
        <is>
          <t>P2S2_Membrane</t>
        </is>
      </c>
      <c r="BQ1" s="13" t="inlineStr">
        <is>
          <t>P2S2_Stage_Back_Pressure_bar</t>
        </is>
      </c>
      <c r="BR1" s="13" t="inlineStr">
        <is>
          <t>P2S2_Boost_Pressure_bar</t>
        </is>
      </c>
      <c r="BS1" s="13" t="inlineStr">
        <is>
          <t>P2S2_Flow_Factor</t>
        </is>
      </c>
      <c r="BT1" s="13" t="inlineStr">
        <is>
          <t>P2S3_PV</t>
        </is>
      </c>
      <c r="BU1" s="13" t="inlineStr">
        <is>
          <t>P2S3_Elements_per_PV</t>
        </is>
      </c>
      <c r="BV1" s="13" t="inlineStr">
        <is>
          <t>P2S3_Membrane</t>
        </is>
      </c>
      <c r="BW1" s="13" t="inlineStr">
        <is>
          <t>P2S3_Stage_Back_Pressure_bar</t>
        </is>
      </c>
      <c r="BX1" s="13" t="inlineStr">
        <is>
          <t>P2S3_Boost_Pressure_bar</t>
        </is>
      </c>
      <c r="BY1" s="13" t="inlineStr">
        <is>
          <t>P2S3_Flow_Factor</t>
        </is>
      </c>
      <c r="BZ1" s="13" t="inlineStr">
        <is>
          <t>P2S4_PV</t>
        </is>
      </c>
      <c r="CA1" s="13" t="inlineStr">
        <is>
          <t>P2S4_Elements_per_PV</t>
        </is>
      </c>
      <c r="CB1" s="13" t="inlineStr">
        <is>
          <t>P2S4_Membrane</t>
        </is>
      </c>
      <c r="CC1" s="13" t="inlineStr">
        <is>
          <t>P2S4_Stage_Back_Pressure_bar</t>
        </is>
      </c>
      <c r="CD1" s="13" t="inlineStr">
        <is>
          <t>P2S4_Boost_Pressure_bar</t>
        </is>
      </c>
      <c r="CE1" s="13" t="inlineStr">
        <is>
          <t>P2S4_Flow_Factor</t>
        </is>
      </c>
      <c r="CF1" s="13" t="inlineStr">
        <is>
          <t>P2S5_PV</t>
        </is>
      </c>
      <c r="CG1" s="13" t="inlineStr">
        <is>
          <t>P2S5_Elements_per_PV</t>
        </is>
      </c>
      <c r="CH1" s="13" t="inlineStr">
        <is>
          <t>P2S5_Membrane</t>
        </is>
      </c>
      <c r="CI1" s="13" t="inlineStr">
        <is>
          <t>P2S5_Stage_Back_Pressure_bar</t>
        </is>
      </c>
      <c r="CJ1" s="13" t="inlineStr">
        <is>
          <t>P2S5_Boost_Pressure_bar</t>
        </is>
      </c>
      <c r="CK1" s="13" t="inlineStr">
        <is>
          <t>P2S5_Flow_Factor</t>
        </is>
      </c>
      <c r="CL1" s="13" t="inlineStr">
        <is>
          <t>Acid_Enabled</t>
        </is>
      </c>
      <c r="CM1" s="13" t="inlineStr">
        <is>
          <t>Acid_Type</t>
        </is>
      </c>
      <c r="CN1" s="13" t="inlineStr">
        <is>
          <t>Acid_Target_pH</t>
        </is>
      </c>
      <c r="CO1" s="13" t="inlineStr">
        <is>
          <t>Degas_Enabled</t>
        </is>
      </c>
      <c r="CP1" s="13" t="inlineStr">
        <is>
          <t>Degas_Mode</t>
        </is>
      </c>
      <c r="CQ1" s="13" t="inlineStr">
        <is>
          <t>Degas_Value</t>
        </is>
      </c>
      <c r="CR1" s="13" t="inlineStr">
        <is>
          <t>Base_Enabled</t>
        </is>
      </c>
      <c r="CS1" s="13" t="inlineStr">
        <is>
          <t>Base_Type</t>
        </is>
      </c>
      <c r="CT1" s="14" t="inlineStr">
        <is>
          <t>Base_Target_pH</t>
        </is>
      </c>
      <c r="CU1" s="160" t="inlineStr">
        <is>
          <t>Antiscalant_Enabled</t>
        </is>
      </c>
      <c r="CV1" s="160" t="inlineStr">
        <is>
          <t>Antiscalant_Type</t>
        </is>
      </c>
      <c r="CW1" s="160" t="inlineStr">
        <is>
          <t>Antiscalant_Dose_mgL</t>
        </is>
      </c>
      <c r="CX1" s="160" t="inlineStr">
        <is>
          <t>Dechlorinator_Enabled</t>
        </is>
      </c>
      <c r="CY1" s="160" t="inlineStr">
        <is>
          <t>Dechlorinator_Type</t>
        </is>
      </c>
      <c r="CZ1" s="160" t="inlineStr">
        <is>
          <t>Dechlorinator_Dose_mgL</t>
        </is>
      </c>
      <c r="DA1" s="160" t="inlineStr">
        <is>
          <t>Chemical_Temperature_Mode</t>
        </is>
      </c>
      <c r="DB1" s="160" t="inlineStr">
        <is>
          <t>Chemical_Temperature_C</t>
        </is>
      </c>
      <c r="DC1" s="160" t="inlineStr">
        <is>
          <t>Chemical_Recovery_Mode</t>
        </is>
      </c>
      <c r="DD1" s="160" t="inlineStr">
        <is>
          <t>Chemical_Recovery_pct</t>
        </is>
      </c>
      <c r="DE1" s="160" t="inlineStr">
        <is>
          <t>Compaction_Enabled</t>
        </is>
      </c>
      <c r="DF1" s="160" t="inlineStr">
        <is>
          <t>Compaction_Mode</t>
        </is>
      </c>
      <c r="DG1" s="160" t="inlineStr">
        <is>
          <t>Compaction_Value</t>
        </is>
      </c>
      <c r="DH1" s="160" t="inlineStr">
        <is>
          <t>RO_TOC_Rejection_Enabled</t>
        </is>
      </c>
      <c r="DI1" s="160" t="inlineStr">
        <is>
          <t>RO_TOC_Rejection_pct</t>
        </is>
      </c>
    </row>
    <row r="2" ht="26.39999961853027" customHeight="1" s="146">
      <c r="A2" s="42" t="n">
        <v>1</v>
      </c>
      <c r="B2" s="43" t="inlineStr">
        <is>
          <t>COMBINED_STRESS</t>
        </is>
      </c>
      <c r="C2" s="43" t="inlineStr">
        <is>
          <t>Y</t>
        </is>
      </c>
      <c r="D2" s="43" t="inlineStr">
        <is>
          <t>V25_CS_001</t>
        </is>
      </c>
      <c r="E2" s="43" t="inlineStr">
        <is>
          <t>V25_CS_001_2Pass_MixedMembranes.pdf</t>
        </is>
      </c>
      <c r="F2" s="43" t="inlineStr">
        <is>
          <t>Y</t>
        </is>
      </c>
      <c r="G2" s="43" t="inlineStr">
        <is>
          <t>combined</t>
        </is>
      </c>
      <c r="H2" s="43" t="inlineStr">
        <is>
          <t>experimental</t>
        </is>
      </c>
      <c r="I2" s="43" t="inlineStr">
        <is>
          <t>2 Pass + mixed membrane stages</t>
        </is>
      </c>
      <c r="J2" s="43" t="inlineStr">
        <is>
          <t>Not Started</t>
        </is>
      </c>
      <c r="K2" s="43" t="inlineStr">
        <is>
          <t>Run alone in a fresh project.</t>
        </is>
      </c>
      <c r="L2" s="43" t="inlineStr">
        <is>
          <t>Well Water - Low TDS</t>
        </is>
      </c>
      <c r="M2" s="43" t="n">
        <v>100</v>
      </c>
      <c r="N2" s="43" t="n">
        <v>10</v>
      </c>
      <c r="O2" s="43" t="n">
        <v>25</v>
      </c>
      <c r="P2" s="43" t="n">
        <v>35</v>
      </c>
      <c r="Q2" s="43" t="n">
        <v>2</v>
      </c>
      <c r="R2" s="43" t="n">
        <v>75</v>
      </c>
      <c r="S2" s="43" t="inlineStr">
        <is>
          <t>Design</t>
        </is>
      </c>
      <c r="T2" s="43" t="n">
        <v>25</v>
      </c>
      <c r="U2" s="43" t="n">
        <v>0.85</v>
      </c>
      <c r="V2" s="43" t="n">
        <v>0</v>
      </c>
      <c r="W2" s="43" t="n">
        <v>2</v>
      </c>
      <c r="X2" s="43" t="n">
        <v>7</v>
      </c>
      <c r="Y2" s="43" t="n">
        <v>6</v>
      </c>
      <c r="Z2" s="43" t="inlineStr">
        <is>
          <t>BW30XHR PRO-440</t>
        </is>
      </c>
      <c r="AA2" s="43" t="n"/>
      <c r="AB2" s="43" t="n"/>
      <c r="AC2" s="43" t="n"/>
      <c r="AD2" s="43" t="n">
        <v>3</v>
      </c>
      <c r="AE2" s="43" t="n">
        <v>6</v>
      </c>
      <c r="AF2" s="43" t="inlineStr">
        <is>
          <t>BW30HR-440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>
        <v>85</v>
      </c>
      <c r="BC2" s="43" t="inlineStr">
        <is>
          <t>Specify</t>
        </is>
      </c>
      <c r="BD2" s="43" t="n">
        <v>25</v>
      </c>
      <c r="BE2" s="43" t="n">
        <v>1</v>
      </c>
      <c r="BF2" s="43" t="n">
        <v>0</v>
      </c>
      <c r="BG2" s="43" t="n">
        <v>2</v>
      </c>
      <c r="BH2" s="43" t="n">
        <v>4</v>
      </c>
      <c r="BI2" s="43" t="n">
        <v>6</v>
      </c>
      <c r="BJ2" s="43" t="inlineStr">
        <is>
          <t>BW30XFRLE-400/34</t>
        </is>
      </c>
      <c r="BK2" s="43" t="n"/>
      <c r="BL2" s="43" t="n"/>
      <c r="BM2" s="43" t="n"/>
      <c r="BN2" s="43" t="n">
        <v>2</v>
      </c>
      <c r="BO2" s="43" t="n">
        <v>6</v>
      </c>
      <c r="BP2" s="43" t="inlineStr">
        <is>
          <t>BW30 PRO-400</t>
        </is>
      </c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  <c r="CO2" s="43" t="n"/>
      <c r="CP2" s="43" t="n"/>
      <c r="CQ2" s="43" t="n"/>
      <c r="CR2" s="43" t="n"/>
      <c r="CS2" s="43" t="n"/>
      <c r="CT2" s="44" t="n"/>
    </row>
    <row r="3" ht="26.39999961853027" customHeight="1" s="146">
      <c r="A3" s="42" t="n">
        <v>2</v>
      </c>
      <c r="B3" s="43" t="inlineStr">
        <is>
          <t>COMBINED_STRESS</t>
        </is>
      </c>
      <c r="C3" s="43" t="inlineStr">
        <is>
          <t>Y</t>
        </is>
      </c>
      <c r="D3" s="43" t="inlineStr">
        <is>
          <t>V25_CS_002</t>
        </is>
      </c>
      <c r="E3" s="43" t="inlineStr">
        <is>
          <t>V25_CS_002_2Pass_HCl.pdf</t>
        </is>
      </c>
      <c r="F3" s="43" t="inlineStr">
        <is>
          <t>Y</t>
        </is>
      </c>
      <c r="G3" s="43" t="inlineStr">
        <is>
          <t>combined</t>
        </is>
      </c>
      <c r="H3" s="43" t="inlineStr">
        <is>
          <t>experimental</t>
        </is>
      </c>
      <c r="I3" s="43" t="inlineStr">
        <is>
          <t>2 Pass + HCl pH reduction</t>
        </is>
      </c>
      <c r="J3" s="43" t="inlineStr">
        <is>
          <t>Not Started</t>
        </is>
      </c>
      <c r="K3" s="43" t="inlineStr">
        <is>
          <t>Run alone in a fresh project.</t>
        </is>
      </c>
      <c r="L3" s="43" t="inlineStr">
        <is>
          <t>Well Water - High Hardness</t>
        </is>
      </c>
      <c r="M3" s="43" t="n">
        <v>100</v>
      </c>
      <c r="N3" s="43" t="n">
        <v>15</v>
      </c>
      <c r="O3" s="43" t="n">
        <v>25</v>
      </c>
      <c r="P3" s="43" t="n">
        <v>35</v>
      </c>
      <c r="Q3" s="43" t="n">
        <v>2</v>
      </c>
      <c r="R3" s="43" t="n">
        <v>70</v>
      </c>
      <c r="S3" s="43" t="inlineStr">
        <is>
          <t>Design</t>
        </is>
      </c>
      <c r="T3" s="43" t="n">
        <v>25</v>
      </c>
      <c r="U3" s="43" t="n">
        <v>0.85</v>
      </c>
      <c r="V3" s="43" t="n">
        <v>0</v>
      </c>
      <c r="W3" s="43" t="n">
        <v>2</v>
      </c>
      <c r="X3" s="43" t="n">
        <v>7</v>
      </c>
      <c r="Y3" s="43" t="n">
        <v>6</v>
      </c>
      <c r="Z3" s="43" t="inlineStr">
        <is>
          <t>BW30-400</t>
        </is>
      </c>
      <c r="AA3" s="43" t="n"/>
      <c r="AB3" s="43" t="n"/>
      <c r="AC3" s="43" t="n"/>
      <c r="AD3" s="43" t="n">
        <v>3</v>
      </c>
      <c r="AE3" s="43" t="n">
        <v>6</v>
      </c>
      <c r="AF3" s="43" t="inlineStr">
        <is>
          <t>BW30 PRO-400</t>
        </is>
      </c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>
        <v>82</v>
      </c>
      <c r="BC3" s="43" t="inlineStr">
        <is>
          <t>Specify</t>
        </is>
      </c>
      <c r="BD3" s="43" t="n">
        <v>25</v>
      </c>
      <c r="BE3" s="43" t="n">
        <v>1</v>
      </c>
      <c r="BF3" s="43" t="n">
        <v>0</v>
      </c>
      <c r="BG3" s="43" t="n">
        <v>1</v>
      </c>
      <c r="BH3" s="43" t="n">
        <v>6</v>
      </c>
      <c r="BI3" s="43" t="n">
        <v>6</v>
      </c>
      <c r="BJ3" s="43" t="inlineStr">
        <is>
          <t>BW30-400</t>
        </is>
      </c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inlineStr">
        <is>
          <t>Y</t>
        </is>
      </c>
      <c r="CM3" s="43" t="inlineStr">
        <is>
          <t>HCl (32)</t>
        </is>
      </c>
      <c r="CN3" s="43" t="n">
        <v>5.5</v>
      </c>
      <c r="CO3" s="43" t="n"/>
      <c r="CP3" s="43" t="n"/>
      <c r="CQ3" s="43" t="n"/>
      <c r="CR3" s="43" t="n"/>
      <c r="CS3" s="43" t="n"/>
      <c r="CT3" s="44" t="n"/>
    </row>
    <row r="4" ht="26.39999961853027" customHeight="1" s="146">
      <c r="A4" s="42" t="n">
        <v>3</v>
      </c>
      <c r="B4" s="43" t="inlineStr">
        <is>
          <t>COMBINED_STRESS</t>
        </is>
      </c>
      <c r="C4" s="43" t="inlineStr">
        <is>
          <t>Y</t>
        </is>
      </c>
      <c r="D4" s="43" t="inlineStr">
        <is>
          <t>V25_CS_003</t>
        </is>
      </c>
      <c r="E4" s="43" t="inlineStr">
        <is>
          <t>V25_CS_003_2Pass_Degas.pdf</t>
        </is>
      </c>
      <c r="F4" s="43" t="inlineStr">
        <is>
          <t>Y</t>
        </is>
      </c>
      <c r="G4" s="43" t="inlineStr">
        <is>
          <t>combined</t>
        </is>
      </c>
      <c r="H4" s="43" t="inlineStr">
        <is>
          <t>experimental</t>
        </is>
      </c>
      <c r="I4" s="43" t="inlineStr">
        <is>
          <t>2 Pass + 90% CO2 removal</t>
        </is>
      </c>
      <c r="J4" s="43" t="inlineStr">
        <is>
          <t>Not Started</t>
        </is>
      </c>
      <c r="K4" s="43" t="inlineStr">
        <is>
          <t>Run alone in a fresh project.</t>
        </is>
      </c>
      <c r="L4" s="43" t="inlineStr">
        <is>
          <t>Well Water - Med Hardness</t>
        </is>
      </c>
      <c r="M4" s="43" t="n">
        <v>100</v>
      </c>
      <c r="N4" s="43" t="n">
        <v>10</v>
      </c>
      <c r="O4" s="43" t="n">
        <v>25</v>
      </c>
      <c r="P4" s="43" t="n">
        <v>35</v>
      </c>
      <c r="Q4" s="43" t="n">
        <v>2</v>
      </c>
      <c r="R4" s="43" t="n">
        <v>75</v>
      </c>
      <c r="S4" s="43" t="inlineStr">
        <is>
          <t>Design</t>
        </is>
      </c>
      <c r="T4" s="43" t="n">
        <v>25</v>
      </c>
      <c r="U4" s="43" t="n">
        <v>0.85</v>
      </c>
      <c r="V4" s="43" t="n">
        <v>0</v>
      </c>
      <c r="W4" s="43" t="n">
        <v>2</v>
      </c>
      <c r="X4" s="43" t="n">
        <v>7</v>
      </c>
      <c r="Y4" s="43" t="n">
        <v>6</v>
      </c>
      <c r="Z4" s="43" t="inlineStr">
        <is>
          <t>BW30-400</t>
        </is>
      </c>
      <c r="AA4" s="43" t="n"/>
      <c r="AB4" s="43" t="n"/>
      <c r="AC4" s="43" t="n"/>
      <c r="AD4" s="43" t="n">
        <v>3</v>
      </c>
      <c r="AE4" s="43" t="n">
        <v>6</v>
      </c>
      <c r="AF4" s="43" t="inlineStr">
        <is>
          <t>BW30HR-440</t>
        </is>
      </c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>
        <v>84</v>
      </c>
      <c r="BC4" s="43" t="inlineStr">
        <is>
          <t>Specify</t>
        </is>
      </c>
      <c r="BD4" s="43" t="n">
        <v>25</v>
      </c>
      <c r="BE4" s="43" t="n">
        <v>1</v>
      </c>
      <c r="BF4" s="43" t="n">
        <v>0.2</v>
      </c>
      <c r="BG4" s="43" t="n">
        <v>1</v>
      </c>
      <c r="BH4" s="43" t="n">
        <v>6</v>
      </c>
      <c r="BI4" s="43" t="n">
        <v>6</v>
      </c>
      <c r="BJ4" s="43" t="inlineStr">
        <is>
          <t>BW30 PRO-400</t>
        </is>
      </c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inlineStr">
        <is>
          <t>Y</t>
        </is>
      </c>
      <c r="CP4" s="43" t="inlineStr">
        <is>
          <t>CO2 Removal</t>
        </is>
      </c>
      <c r="CQ4" s="43" t="n">
        <v>90</v>
      </c>
      <c r="CR4" s="43" t="n"/>
      <c r="CS4" s="43" t="n"/>
      <c r="CT4" s="44" t="n"/>
    </row>
    <row r="5" ht="26.39999961853027" customHeight="1" s="146">
      <c r="A5" s="42" t="n">
        <v>4</v>
      </c>
      <c r="B5" s="43" t="inlineStr">
        <is>
          <t>COMBINED_STRESS</t>
        </is>
      </c>
      <c r="C5" s="43" t="inlineStr">
        <is>
          <t>Y</t>
        </is>
      </c>
      <c r="D5" s="43" t="inlineStr">
        <is>
          <t>V25_CS_004</t>
        </is>
      </c>
      <c r="E5" s="43" t="inlineStr">
        <is>
          <t>V25_CS_004_2Pass_NaOH.pdf</t>
        </is>
      </c>
      <c r="F5" s="43" t="inlineStr">
        <is>
          <t>Y</t>
        </is>
      </c>
      <c r="G5" s="43" t="inlineStr">
        <is>
          <t>combined</t>
        </is>
      </c>
      <c r="H5" s="43" t="inlineStr">
        <is>
          <t>experimental</t>
        </is>
      </c>
      <c r="I5" s="43" t="inlineStr">
        <is>
          <t>2 Pass + NaOH pH increase</t>
        </is>
      </c>
      <c r="J5" s="43" t="inlineStr">
        <is>
          <t>Not Started</t>
        </is>
      </c>
      <c r="K5" s="43" t="inlineStr">
        <is>
          <t>Run alone in a fresh project.</t>
        </is>
      </c>
      <c r="L5" s="43" t="inlineStr">
        <is>
          <t>Well Water - Low TDS</t>
        </is>
      </c>
      <c r="M5" s="43" t="n">
        <v>100</v>
      </c>
      <c r="N5" s="43" t="n">
        <v>10</v>
      </c>
      <c r="O5" s="43" t="n">
        <v>25</v>
      </c>
      <c r="P5" s="43" t="n">
        <v>35</v>
      </c>
      <c r="Q5" s="43" t="n">
        <v>2</v>
      </c>
      <c r="R5" s="43" t="n">
        <v>75</v>
      </c>
      <c r="S5" s="43" t="inlineStr">
        <is>
          <t>Design</t>
        </is>
      </c>
      <c r="T5" s="43" t="n">
        <v>25</v>
      </c>
      <c r="U5" s="43" t="n">
        <v>0.85</v>
      </c>
      <c r="V5" s="43" t="n">
        <v>0</v>
      </c>
      <c r="W5" s="43" t="n">
        <v>2</v>
      </c>
      <c r="X5" s="43" t="n">
        <v>7</v>
      </c>
      <c r="Y5" s="43" t="n">
        <v>6</v>
      </c>
      <c r="Z5" s="43" t="inlineStr">
        <is>
          <t>BW30XFRLE-400/34</t>
        </is>
      </c>
      <c r="AA5" s="43" t="n"/>
      <c r="AB5" s="43" t="n"/>
      <c r="AC5" s="43" t="n"/>
      <c r="AD5" s="43" t="n">
        <v>3</v>
      </c>
      <c r="AE5" s="43" t="n">
        <v>6</v>
      </c>
      <c r="AF5" s="43" t="inlineStr">
        <is>
          <t>BW30-400</t>
        </is>
      </c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>
        <v>85</v>
      </c>
      <c r="BC5" s="43" t="inlineStr">
        <is>
          <t>Specify</t>
        </is>
      </c>
      <c r="BD5" s="43" t="n">
        <v>25</v>
      </c>
      <c r="BE5" s="43" t="n">
        <v>1</v>
      </c>
      <c r="BF5" s="43" t="n">
        <v>0</v>
      </c>
      <c r="BG5" s="43" t="n">
        <v>1</v>
      </c>
      <c r="BH5" s="43" t="n">
        <v>6</v>
      </c>
      <c r="BI5" s="43" t="n">
        <v>6</v>
      </c>
      <c r="BJ5" s="43" t="inlineStr">
        <is>
          <t>BW30 PRO-400</t>
        </is>
      </c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n"/>
      <c r="CP5" s="43" t="n"/>
      <c r="CQ5" s="43" t="n"/>
      <c r="CR5" s="43" t="inlineStr">
        <is>
          <t>Y</t>
        </is>
      </c>
      <c r="CS5" s="43" t="inlineStr">
        <is>
          <t>NaOH (30)</t>
        </is>
      </c>
      <c r="CT5" s="44" t="n">
        <v>8.5</v>
      </c>
    </row>
    <row r="6" ht="26.39999961853027" customHeight="1" s="146">
      <c r="A6" s="45" t="n">
        <v>5</v>
      </c>
      <c r="B6" s="46" t="inlineStr">
        <is>
          <t>COMBINED_STRESS</t>
        </is>
      </c>
      <c r="C6" s="46" t="inlineStr">
        <is>
          <t>Y</t>
        </is>
      </c>
      <c r="D6" s="46" t="inlineStr">
        <is>
          <t>V25_CS_005</t>
        </is>
      </c>
      <c r="E6" s="46" t="inlineStr">
        <is>
          <t>V25_CS_005_FullStress.pdf</t>
        </is>
      </c>
      <c r="F6" s="46" t="inlineStr">
        <is>
          <t>Y</t>
        </is>
      </c>
      <c r="G6" s="46" t="inlineStr">
        <is>
          <t>combined</t>
        </is>
      </c>
      <c r="H6" s="46" t="inlineStr">
        <is>
          <t>experimental</t>
        </is>
      </c>
      <c r="I6" s="46" t="inlineStr">
        <is>
          <t>2 Pass + mixed membranes + boost pressure + Degas</t>
        </is>
      </c>
      <c r="J6" s="46" t="inlineStr">
        <is>
          <t>Not Started</t>
        </is>
      </c>
      <c r="K6" s="46" t="inlineStr">
        <is>
          <t>Highest-risk diagnostic case; run last and alone.</t>
        </is>
      </c>
      <c r="L6" s="46" t="inlineStr">
        <is>
          <t>Well Water - High Hardness</t>
        </is>
      </c>
      <c r="M6" s="46" t="n">
        <v>100</v>
      </c>
      <c r="N6" s="46" t="n">
        <v>15</v>
      </c>
      <c r="O6" s="46" t="n">
        <v>25</v>
      </c>
      <c r="P6" s="46" t="n">
        <v>35</v>
      </c>
      <c r="Q6" s="46" t="n">
        <v>2</v>
      </c>
      <c r="R6" s="46" t="n">
        <v>70</v>
      </c>
      <c r="S6" s="46" t="inlineStr">
        <is>
          <t>Minimum</t>
        </is>
      </c>
      <c r="T6" s="46" t="n">
        <v>15</v>
      </c>
      <c r="U6" s="46" t="n">
        <v>0.88</v>
      </c>
      <c r="V6" s="46" t="n">
        <v>0.2</v>
      </c>
      <c r="W6" s="46" t="n">
        <v>2</v>
      </c>
      <c r="X6" s="46" t="n">
        <v>7</v>
      </c>
      <c r="Y6" s="46" t="n">
        <v>6</v>
      </c>
      <c r="Z6" s="46" t="inlineStr">
        <is>
          <t>BW30XHR PRO-440</t>
        </is>
      </c>
      <c r="AA6" s="46" t="n">
        <v>0.1</v>
      </c>
      <c r="AB6" s="46" t="n"/>
      <c r="AC6" s="46" t="n">
        <v>0.84</v>
      </c>
      <c r="AD6" s="46" t="n">
        <v>3</v>
      </c>
      <c r="AE6" s="46" t="n">
        <v>6</v>
      </c>
      <c r="AF6" s="46" t="inlineStr">
        <is>
          <t>BW30HR-440</t>
        </is>
      </c>
      <c r="AG6" s="46" t="n">
        <v>0.3</v>
      </c>
      <c r="AH6" s="46" t="n">
        <v>1.5</v>
      </c>
      <c r="AI6" s="46" t="n">
        <v>0.92</v>
      </c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>
        <v>82</v>
      </c>
      <c r="BC6" s="46" t="inlineStr">
        <is>
          <t>Specify</t>
        </is>
      </c>
      <c r="BD6" s="46" t="n">
        <v>25</v>
      </c>
      <c r="BE6" s="46" t="n">
        <v>1.02</v>
      </c>
      <c r="BF6" s="46" t="n">
        <v>0.4</v>
      </c>
      <c r="BG6" s="46" t="n">
        <v>2</v>
      </c>
      <c r="BH6" s="46" t="n">
        <v>4</v>
      </c>
      <c r="BI6" s="46" t="n">
        <v>6</v>
      </c>
      <c r="BJ6" s="46" t="inlineStr">
        <is>
          <t>BW30XFRLE-400/34</t>
        </is>
      </c>
      <c r="BK6" s="46" t="n">
        <v>0.1</v>
      </c>
      <c r="BL6" s="46" t="n"/>
      <c r="BM6" s="46" t="n"/>
      <c r="BN6" s="46" t="n">
        <v>2</v>
      </c>
      <c r="BO6" s="46" t="n">
        <v>6</v>
      </c>
      <c r="BP6" s="46" t="inlineStr">
        <is>
          <t>BW30 PRO-400</t>
        </is>
      </c>
      <c r="BQ6" s="46" t="n">
        <v>0.2</v>
      </c>
      <c r="BR6" s="46" t="n">
        <v>1</v>
      </c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  <c r="CO6" s="46" t="inlineStr">
        <is>
          <t>Y</t>
        </is>
      </c>
      <c r="CP6" s="46" t="inlineStr">
        <is>
          <t>CO2 Removal</t>
        </is>
      </c>
      <c r="CQ6" s="46" t="n">
        <v>85</v>
      </c>
      <c r="CR6" s="46" t="n"/>
      <c r="CS6" s="46" t="n"/>
      <c r="CT6" s="47" t="n"/>
    </row>
  </sheetData>
  <conditionalFormatting sqref="J2:J6">
    <cfRule type="expression" priority="1" dxfId="0">
      <formula>J2="Passed"</formula>
    </cfRule>
    <cfRule type="expression" priority="2" dxfId="1">
      <formula>J2="Failed"</formula>
    </cfRule>
  </conditionalFormatting>
  <conditionalFormatting sqref="H2:H6">
    <cfRule type="expression" priority="3" dxfId="2">
      <formula>H2="experimental"</formula>
    </cfRule>
  </conditionalFormatting>
  <dataValidations count="17">
    <dataValidation sqref="C2:C6" showDropDown="0" showInputMessage="0" showErrorMessage="0" allowBlank="0" type="list">
      <formula1>"Y,N"</formula1>
    </dataValidation>
    <dataValidation sqref="F2:F6" showDropDown="0" showInputMessage="0" showErrorMessage="0" allowBlank="0" type="list">
      <formula1>"Y,N"</formula1>
    </dataValidation>
    <dataValidation sqref="J2:J6" showDropDown="0" showInputMessage="0" showErrorMessage="0" allowBlank="0" type="list">
      <formula1>"Not Started,Running,Passed,Failed,Skipped"</formula1>
    </dataValidation>
    <dataValidation sqref="S2:S6" showDropDown="0" showInputMessage="0" showErrorMessage="0" allowBlank="0" type="list">
      <formula1>"Minimum,Design,Maximum,Specify"</formula1>
    </dataValidation>
    <dataValidation sqref="AY2:AY6" showDropDown="0" showInputMessage="0" showErrorMessage="0" allowBlank="0" type="list">
      <formula1>"Minimum,Design,Maximum,Specify"</formula1>
    </dataValidation>
    <dataValidation sqref="CL2:CL6" showDropDown="0" showInputMessage="0" showErrorMessage="0" allowBlank="0" type="list">
      <formula1>"Y,N"</formula1>
    </dataValidation>
    <dataValidation sqref="CO2:CO6" showDropDown="0" showInputMessage="0" showErrorMessage="0" allowBlank="0" type="list">
      <formula1>"Y,N"</formula1>
    </dataValidation>
    <dataValidation sqref="CR2:CR6" showDropDown="0" showInputMessage="0" showErrorMessage="0" allowBlank="0" type="list">
      <formula1>"Y,N"</formula1>
    </dataValidation>
    <dataValidation sqref="CM2:CM6" showDropDown="0" showInputMessage="0" showErrorMessage="0" allowBlank="0" type="list">
      <formula1>"HCl (32),H2SO4 (98)"</formula1>
    </dataValidation>
    <dataValidation sqref="CP2:CP6" showDropDown="0" showInputMessage="0" showErrorMessage="0" allowBlank="0" type="list">
      <formula1>"CO2 Removal,CO2 Partial Pressure,CO2 Concentration"</formula1>
    </dataValidation>
    <dataValidation sqref="CS2:CS6" showDropDown="0" showInputMessage="0" showErrorMessage="0" allowBlank="0" type="list">
      <formula1>"NaOH (30),NaOH (50)"</formula1>
    </dataValidation>
    <dataValidation sqref="CU2:CU1000" showDropDown="0" showInputMessage="0" showErrorMessage="0" allowBlank="0" type="list">
      <formula1>"Y,N"</formula1>
    </dataValidation>
    <dataValidation sqref="CX2:CX1000" showDropDown="0" showInputMessage="0" showErrorMessage="0" allowBlank="0" type="list">
      <formula1>"Y,N"</formula1>
    </dataValidation>
    <dataValidation sqref="DE2:DE1000" showDropDown="0" showInputMessage="0" showErrorMessage="0" allowBlank="0" type="list">
      <formula1>"Y,N"</formula1>
    </dataValidation>
    <dataValidation sqref="DH2:DH1000" showDropDown="0" showInputMessage="0" showErrorMessage="0" allowBlank="0" type="list">
      <formula1>"Y,N"</formula1>
    </dataValidation>
    <dataValidation sqref="DA2:DA1000" showDropDown="0" showInputMessage="0" showErrorMessage="0" allowBlank="0" type="list">
      <formula1>"Minimum,Design,Maximum,Specify"</formula1>
    </dataValidation>
    <dataValidation sqref="DC2:DC1000" showDropDown="0" showInputMessage="0" showErrorMessage="0" allowBlank="0" type="list">
      <formula1>"Basic default,Specify,Based on RO config"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style="146" min="1" max="1"/>
    <col width="22" customWidth="1" style="146" min="2" max="2"/>
    <col width="22" customWidth="1" style="146" min="3" max="3"/>
    <col width="22" customWidth="1" style="146" min="4" max="4"/>
  </cols>
  <sheetData>
    <row r="1" ht="21.60000038146973" customHeight="1" s="146">
      <c r="A1" s="176" t="inlineStr">
        <is>
          <t>영상에서 확인한 막 이름 — V25 테스트 후보/차단 목록</t>
        </is>
      </c>
      <c r="B1" s="29" t="n"/>
      <c r="C1" s="29" t="n"/>
      <c r="D1" s="29" t="n"/>
      <c r="E1" s="29" t="n"/>
      <c r="F1" s="29" t="n"/>
    </row>
    <row r="2" ht="21.60000038146973" customHeight="1" s="146">
      <c r="A2" s="29" t="n"/>
      <c r="B2" s="29" t="n"/>
      <c r="C2" s="29" t="n"/>
      <c r="D2" s="29" t="n"/>
      <c r="E2" s="29" t="n"/>
      <c r="F2" s="29" t="n"/>
    </row>
    <row r="4" ht="15" customHeight="1" s="146">
      <c r="A4" s="12" t="inlineStr">
        <is>
          <t>막 이름</t>
        </is>
      </c>
      <c r="B4" s="13" t="inlineStr">
        <is>
          <t>크기/계열</t>
        </is>
      </c>
      <c r="C4" s="13" t="inlineStr">
        <is>
          <t>V25 상태</t>
        </is>
      </c>
      <c r="D4" s="14" t="inlineStr">
        <is>
          <t>사용 메모</t>
        </is>
      </c>
    </row>
    <row r="5" ht="15" customHeight="1" s="146">
      <c r="A5" s="30" t="inlineStr">
        <is>
          <t>BW30-400</t>
        </is>
      </c>
      <c r="B5" s="31" t="inlineStr">
        <is>
          <t>8-inch</t>
        </is>
      </c>
      <c r="C5" s="31" t="inlineStr">
        <is>
          <t>safe candidate</t>
        </is>
      </c>
      <c r="D5" s="32" t="inlineStr">
        <is>
          <t>기준 막</t>
        </is>
      </c>
    </row>
    <row r="6" ht="15" customHeight="1" s="146">
      <c r="A6" s="30" t="inlineStr">
        <is>
          <t>BW30 PRO-400</t>
        </is>
      </c>
      <c r="B6" s="31" t="inlineStr">
        <is>
          <t>8-inch</t>
        </is>
      </c>
      <c r="C6" s="31" t="inlineStr">
        <is>
          <t>safe candidate</t>
        </is>
      </c>
      <c r="D6" s="32" t="inlineStr">
        <is>
          <t>고성능 계열</t>
        </is>
      </c>
    </row>
    <row r="7" ht="15" customHeight="1" s="146">
      <c r="A7" s="30" t="inlineStr">
        <is>
          <t>BW30XHR PRO-440</t>
        </is>
      </c>
      <c r="B7" s="31" t="inlineStr">
        <is>
          <t>8-inch</t>
        </is>
      </c>
      <c r="C7" s="31" t="inlineStr">
        <is>
          <t>safe candidate</t>
        </is>
      </c>
      <c r="D7" s="32" t="inlineStr">
        <is>
          <t>440 ft²</t>
        </is>
      </c>
    </row>
    <row r="8" ht="15" customHeight="1" s="146">
      <c r="A8" s="30" t="inlineStr">
        <is>
          <t>BW30HR-440</t>
        </is>
      </c>
      <c r="B8" s="31" t="inlineStr">
        <is>
          <t>8-inch</t>
        </is>
      </c>
      <c r="C8" s="31" t="inlineStr">
        <is>
          <t>safe candidate</t>
        </is>
      </c>
      <c r="D8" s="32" t="inlineStr">
        <is>
          <t>고제거율 계열</t>
        </is>
      </c>
    </row>
    <row r="9" ht="15" customHeight="1" s="146">
      <c r="A9" s="30" t="inlineStr">
        <is>
          <t>BW30XFRLE-400/34</t>
        </is>
      </c>
      <c r="B9" s="31" t="inlineStr">
        <is>
          <t>8-inch</t>
        </is>
      </c>
      <c r="C9" s="31" t="inlineStr">
        <is>
          <t>safe candidate</t>
        </is>
      </c>
      <c r="D9" s="32" t="inlineStr">
        <is>
          <t>XFR/LE 계열</t>
        </is>
      </c>
    </row>
    <row r="10" ht="15" customHeight="1" s="146">
      <c r="A10" s="30" t="inlineStr">
        <is>
          <t>BW30-365</t>
        </is>
      </c>
      <c r="B10" s="31" t="inlineStr">
        <is>
          <t>8-inch</t>
        </is>
      </c>
      <c r="C10" s="31" t="inlineStr">
        <is>
          <t>safe candidate</t>
        </is>
      </c>
      <c r="D10" s="32" t="inlineStr">
        <is>
          <t>365 ft²</t>
        </is>
      </c>
    </row>
    <row r="11" ht="15" customHeight="1" s="146">
      <c r="A11" s="30" t="inlineStr">
        <is>
          <t>BW30 PRO-365</t>
        </is>
      </c>
      <c r="B11" s="31" t="inlineStr">
        <is>
          <t>8-inch</t>
        </is>
      </c>
      <c r="C11" s="31" t="inlineStr">
        <is>
          <t>safe candidate</t>
        </is>
      </c>
      <c r="D11" s="32" t="inlineStr">
        <is>
          <t>PRO 365</t>
        </is>
      </c>
    </row>
    <row r="12" ht="15" customHeight="1" s="146">
      <c r="A12" s="30" t="inlineStr">
        <is>
          <t>LC HR-4040</t>
        </is>
      </c>
      <c r="B12" s="31" t="inlineStr">
        <is>
          <t>4-inch</t>
        </is>
      </c>
      <c r="C12" s="31" t="inlineStr">
        <is>
          <t>safe candidate</t>
        </is>
      </c>
      <c r="D12" s="32" t="inlineStr">
        <is>
          <t>저유량 단독 테스트</t>
        </is>
      </c>
    </row>
    <row r="13" ht="15" customHeight="1" s="146">
      <c r="A13" s="30" t="inlineStr">
        <is>
          <t>LC HF-4040</t>
        </is>
      </c>
      <c r="B13" s="31" t="inlineStr">
        <is>
          <t>4-inch</t>
        </is>
      </c>
      <c r="C13" s="31" t="inlineStr">
        <is>
          <t>safe candidate</t>
        </is>
      </c>
      <c r="D13" s="32" t="inlineStr">
        <is>
          <t>저유량 단독 테스트</t>
        </is>
      </c>
    </row>
    <row r="14" ht="15" customHeight="1" s="146">
      <c r="A14" s="33" t="inlineStr">
        <is>
          <t>LC LE-4040</t>
        </is>
      </c>
      <c r="B14" s="34" t="inlineStr">
        <is>
          <t>4-inch</t>
        </is>
      </c>
      <c r="C14" s="34" t="inlineStr">
        <is>
          <t>safe candidate</t>
        </is>
      </c>
      <c r="D14" s="35" t="inlineStr">
        <is>
          <t>저유량 단독 테스트</t>
        </is>
      </c>
    </row>
    <row r="15" ht="15" customHeight="1" s="146">
      <c r="A15" s="126" t="n"/>
      <c r="B15" s="126" t="n"/>
      <c r="C15" s="126" t="n"/>
      <c r="D15" s="126" t="n"/>
    </row>
    <row r="16" ht="15" customHeight="1" s="146">
      <c r="A16" s="126" t="n"/>
      <c r="B16" s="126" t="n"/>
      <c r="C16" s="126" t="n"/>
      <c r="D16" s="126" t="n"/>
    </row>
    <row r="17" ht="15" customHeight="1" s="146">
      <c r="A17" s="127" t="inlineStr">
        <is>
          <t>제한 표기 막</t>
        </is>
      </c>
      <c r="B17" s="128" t="inlineStr">
        <is>
          <t>상태</t>
        </is>
      </c>
      <c r="C17" s="129" t="inlineStr">
        <is>
          <t>처리</t>
        </is>
      </c>
      <c r="D17" s="126" t="n"/>
    </row>
    <row r="18" ht="15" customHeight="1" s="146">
      <c r="A18" s="130" t="inlineStr">
        <is>
          <t>BW30FR-400/34 (to be discontinued 2022)</t>
        </is>
      </c>
      <c r="B18" s="131" t="inlineStr">
        <is>
          <t>restricted</t>
        </is>
      </c>
      <c r="C18" s="132" t="inlineStr">
        <is>
          <t>차단</t>
        </is>
      </c>
      <c r="D18" s="126" t="n"/>
    </row>
    <row r="19" ht="15" customHeight="1" s="146">
      <c r="A19" s="130" t="inlineStr">
        <is>
          <t>BW30FR-400/34i (to be discontinued 2022)</t>
        </is>
      </c>
      <c r="B19" s="131" t="inlineStr">
        <is>
          <t>restricted</t>
        </is>
      </c>
      <c r="C19" s="132" t="inlineStr">
        <is>
          <t>차단</t>
        </is>
      </c>
      <c r="D19" s="126" t="n"/>
    </row>
    <row r="20" ht="15" customHeight="1" s="146">
      <c r="A20" s="130" t="inlineStr">
        <is>
          <t>BW30FR-400/34i (China only)</t>
        </is>
      </c>
      <c r="B20" s="131" t="inlineStr">
        <is>
          <t>restricted</t>
        </is>
      </c>
      <c r="C20" s="132" t="inlineStr">
        <is>
          <t>차단</t>
        </is>
      </c>
      <c r="D20" s="126" t="n"/>
    </row>
    <row r="21" ht="15" customHeight="1" s="146">
      <c r="A21" s="130" t="inlineStr">
        <is>
          <t>LE-400 (obsolete)</t>
        </is>
      </c>
      <c r="B21" s="131" t="inlineStr">
        <is>
          <t>restricted</t>
        </is>
      </c>
      <c r="C21" s="132" t="inlineStr">
        <is>
          <t>차단</t>
        </is>
      </c>
      <c r="D21" s="126" t="n"/>
    </row>
    <row r="22" ht="15" customHeight="1" s="146">
      <c r="A22" s="130" t="inlineStr">
        <is>
          <t>LE-440 (obsolete)</t>
        </is>
      </c>
      <c r="B22" s="131" t="inlineStr">
        <is>
          <t>restricted</t>
        </is>
      </c>
      <c r="C22" s="132" t="inlineStr">
        <is>
          <t>차단</t>
        </is>
      </c>
      <c r="D22" s="126" t="n"/>
    </row>
    <row r="23" ht="15" customHeight="1" s="146">
      <c r="A23" s="130" t="inlineStr">
        <is>
          <t>LE-440i (obsolete)</t>
        </is>
      </c>
      <c r="B23" s="131" t="inlineStr">
        <is>
          <t>restricted</t>
        </is>
      </c>
      <c r="C23" s="132" t="inlineStr">
        <is>
          <t>차단</t>
        </is>
      </c>
      <c r="D23" s="126" t="n"/>
    </row>
    <row r="24" ht="15" customHeight="1" s="146">
      <c r="A24" s="130" t="inlineStr">
        <is>
          <t>XFRLE-400/34 (obsolete)</t>
        </is>
      </c>
      <c r="B24" s="131" t="inlineStr">
        <is>
          <t>restricted</t>
        </is>
      </c>
      <c r="C24" s="132" t="inlineStr">
        <is>
          <t>차단</t>
        </is>
      </c>
      <c r="D24" s="126" t="n"/>
    </row>
    <row r="25" ht="15" customHeight="1" s="146">
      <c r="A25" s="130" t="inlineStr">
        <is>
          <t>XFRLE-400/34i (obsolete)</t>
        </is>
      </c>
      <c r="B25" s="131" t="inlineStr">
        <is>
          <t>restricted</t>
        </is>
      </c>
      <c r="C25" s="132" t="inlineStr">
        <is>
          <t>차단</t>
        </is>
      </c>
      <c r="D25" s="126" t="n"/>
    </row>
    <row r="26" ht="15" customHeight="1" s="146">
      <c r="A26" s="130" t="inlineStr">
        <is>
          <t>BW30-365 IG (obsolete)</t>
        </is>
      </c>
      <c r="B26" s="131" t="inlineStr">
        <is>
          <t>restricted</t>
        </is>
      </c>
      <c r="C26" s="132" t="inlineStr">
        <is>
          <t>차단</t>
        </is>
      </c>
      <c r="D26" s="126" t="n"/>
    </row>
    <row r="27" ht="15" customHeight="1" s="146">
      <c r="A27" s="133" t="inlineStr">
        <is>
          <t>BW30-400-IG (obsolete)</t>
        </is>
      </c>
      <c r="B27" s="134" t="inlineStr">
        <is>
          <t>restricted</t>
        </is>
      </c>
      <c r="C27" s="135" t="inlineStr">
        <is>
          <t>차단</t>
        </is>
      </c>
      <c r="D27" s="126" t="n"/>
    </row>
  </sheetData>
  <mergeCells count="1">
    <mergeCell ref="A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style="146" min="1" max="1"/>
    <col width="26" customWidth="1" style="146" min="2" max="2"/>
    <col width="25" customWidth="1" style="146" min="3" max="3"/>
    <col width="30" customWidth="1" style="146" min="4" max="4"/>
    <col width="100" customWidth="1" style="146" min="5" max="5"/>
  </cols>
  <sheetData>
    <row r="1" ht="21.60000038146973" customHeight="1" s="146">
      <c r="A1" s="176" t="inlineStr">
        <is>
          <t>V25 실행 명령 — 실제 경로 기준</t>
        </is>
      </c>
      <c r="B1" s="29" t="n"/>
      <c r="C1" s="29" t="n"/>
      <c r="D1" s="29" t="n"/>
      <c r="E1" s="29" t="n"/>
    </row>
    <row r="2" ht="21.60000038146973" customHeight="1" s="146">
      <c r="A2" s="29" t="n"/>
      <c r="B2" s="29" t="n"/>
      <c r="C2" s="29" t="n"/>
      <c r="D2" s="29" t="n"/>
      <c r="E2" s="29" t="n"/>
    </row>
    <row r="4" ht="15" customHeight="1" s="146">
      <c r="A4" s="12" t="inlineStr">
        <is>
          <t>순서</t>
        </is>
      </c>
      <c r="B4" s="13" t="inlineStr">
        <is>
          <t>명령 목적</t>
        </is>
      </c>
      <c r="C4" s="13" t="inlineStr">
        <is>
          <t>시트</t>
        </is>
      </c>
      <c r="D4" s="13" t="inlineStr">
        <is>
          <t>준비 상태</t>
        </is>
      </c>
      <c r="E4" s="14" t="inlineStr">
        <is>
          <t>PowerShell 명령</t>
        </is>
      </c>
    </row>
    <row r="5" ht="66" customHeight="1" s="146">
      <c r="A5" s="30" t="inlineStr">
        <is>
          <t>1</t>
        </is>
      </c>
      <c r="B5" s="31" t="inlineStr">
        <is>
          <t>Pass/Stage dry-run</t>
        </is>
      </c>
      <c r="C5" s="31" t="inlineStr">
        <is>
          <t>01_PASS_STAGE</t>
        </is>
      </c>
      <c r="D5" s="31" t="inlineStr">
        <is>
          <t>기본</t>
        </is>
      </c>
      <c r="E5" s="32" t="inlineStr">
        <is>
          <t>python .\scripts\wave_records\wave_video_demo.py `
  --dry-run-ro-excel "C:\Users\a\Desktop\프로젝트\AquaNova\code\scripts\wave_records\AquaNova_WAVE_RO_Full_Experimental_Test_Matrix_V25_2026-07-02.xlsx" `
  --ro-sheet "01_PASS_STAGE"</t>
        </is>
      </c>
    </row>
    <row r="6" ht="79.19999694824219" customHeight="1" s="146">
      <c r="A6" s="30" t="inlineStr">
        <is>
          <t>2</t>
        </is>
      </c>
      <c r="B6" s="31" t="inlineStr">
        <is>
          <t>첫 Pass/Stage 실행</t>
        </is>
      </c>
      <c r="C6" s="31" t="inlineStr">
        <is>
          <t>01_PASS_STAGE</t>
        </is>
      </c>
      <c r="D6" s="31" t="inlineStr">
        <is>
          <t>새 빈 프로젝트</t>
        </is>
      </c>
      <c r="E6" s="32" t="inlineStr">
        <is>
          <t>python .\scripts\wave_records\wave_video_demo.py `
  --run-ro-excel "C:\Users\a\Desktop\프로젝트\AquaNova\code\scripts\wave_records\AquaNova_WAVE_RO_Full_Experimental_Test_Matrix_V25_2026-07-02.xlsx" `
  --ro-sheet "01_PASS_STAGE" `
  --case-id "V25_PS_001"</t>
        </is>
      </c>
    </row>
    <row r="7" ht="92.40000152587891" customHeight="1" s="146">
      <c r="A7" s="30" t="inlineStr">
        <is>
          <t>3</t>
        </is>
      </c>
      <c r="B7" s="31" t="inlineStr">
        <is>
          <t>첫 2 Pass 실행</t>
        </is>
      </c>
      <c r="C7" s="31" t="inlineStr">
        <is>
          <t>02_TWO_PASS</t>
        </is>
      </c>
      <c r="D7" s="31" t="inlineStr">
        <is>
          <t>새 빈 프로젝트 + experimental</t>
        </is>
      </c>
      <c r="E7" s="32" t="inlineStr">
        <is>
          <t>python .\scripts\wave_records\wave_video_demo.py `
  --run-ro-excel "C:\Users\a\Desktop\프로젝트\AquaNova\code\scripts\wave_records\AquaNova_WAVE_RO_Full_Experimental_Test_Matrix_V25_2026-07-02.xlsx" `
  --ro-sheet "02_TWO_PASS" `
  --case-id "V25_2P_001" `
  --allow-experimental-ro</t>
        </is>
      </c>
    </row>
    <row r="8" ht="79.19999694824219" customHeight="1" s="146">
      <c r="A8" s="30" t="inlineStr">
        <is>
          <t>4</t>
        </is>
      </c>
      <c r="B8" s="31" t="inlineStr">
        <is>
          <t>첫 Mixed Membrane 실행</t>
        </is>
      </c>
      <c r="C8" s="31" t="inlineStr">
        <is>
          <t>03_MIXED_MEMBRANE</t>
        </is>
      </c>
      <c r="D8" s="31" t="inlineStr">
        <is>
          <t>새 빈 프로젝트</t>
        </is>
      </c>
      <c r="E8" s="32" t="inlineStr">
        <is>
          <t>python .\scripts\wave_records\wave_video_demo.py `
  --run-ro-excel "C:\Users\a\Desktop\프로젝트\AquaNova\code\scripts\wave_records\AquaNova_WAVE_RO_Full_Experimental_Test_Matrix_V25_2026-07-02.xlsx" `
  --ro-sheet "03_MIXED_MEMBRANE" `
  --case-id "V25_MM_001"</t>
        </is>
      </c>
    </row>
    <row r="9" ht="92.40000152587891" customHeight="1" s="146">
      <c r="A9" s="30" t="inlineStr">
        <is>
          <t>5</t>
        </is>
      </c>
      <c r="B9" s="31" t="inlineStr">
        <is>
          <t>첫 Chemical 실행</t>
        </is>
      </c>
      <c r="C9" s="31" t="inlineStr">
        <is>
          <t>04_CHEM_DEGAS</t>
        </is>
      </c>
      <c r="D9" s="31" t="inlineStr">
        <is>
          <t>새 빈 프로젝트 + experimental</t>
        </is>
      </c>
      <c r="E9" s="32" t="inlineStr">
        <is>
          <t>python .\scripts\wave_records\wave_video_demo.py `
  --run-ro-excel "C:\Users\a\Desktop\프로젝트\AquaNova\code\scripts\wave_records\AquaNova_WAVE_RO_Full_Experimental_Test_Matrix_V25_2026-07-02.xlsx" `
  --ro-sheet "04_CHEM_DEGAS" `
  --case-id "V25_CH_001" `
  --allow-experimental-ro</t>
        </is>
      </c>
    </row>
    <row r="10" ht="92.40000152587891" customHeight="1" s="146">
      <c r="A10" s="33" t="inlineStr">
        <is>
          <t>6</t>
        </is>
      </c>
      <c r="B10" s="34" t="inlineStr">
        <is>
          <t>첫 Combined 실행</t>
        </is>
      </c>
      <c r="C10" s="34" t="inlineStr">
        <is>
          <t>05_COMBINED_STRESS</t>
        </is>
      </c>
      <c r="D10" s="34" t="inlineStr">
        <is>
          <t>새 빈 프로젝트 + experimental</t>
        </is>
      </c>
      <c r="E10" s="35" t="inlineStr">
        <is>
          <t>python .\scripts\wave_records\wave_video_demo.py `
  --run-ro-excel "C:\Users\a\Desktop\프로젝트\AquaNova\code\scripts\wave_records\AquaNova_WAVE_RO_Full_Experimental_Test_Matrix_V25_2026-07-02.xlsx" `
  --ro-sheet "05_COMBINED_STRESS" `
  --case-id "V25_CS_001" `
  --allow-experimental-ro</t>
        </is>
      </c>
    </row>
  </sheetData>
  <mergeCells count="1">
    <mergeCell ref="A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9" customWidth="1" style="146" min="1" max="1"/>
    <col width="34" customWidth="1" style="146" min="2" max="2"/>
    <col width="38" customWidth="1" style="146" min="3" max="3"/>
    <col width="48" customWidth="1" style="146" min="4" max="4"/>
  </cols>
  <sheetData>
    <row r="1">
      <c r="A1" s="178" t="inlineStr">
        <is>
          <t>V41 RO Chemical Adjustment / Special Feature Schema</t>
        </is>
      </c>
      <c r="B1" s="29" t="n"/>
      <c r="C1" s="29" t="n"/>
      <c r="D1" s="29" t="n"/>
    </row>
    <row r="2">
      <c r="A2" s="160" t="inlineStr">
        <is>
          <t>Column</t>
        </is>
      </c>
      <c r="B2" s="160" t="inlineStr">
        <is>
          <t>Meaning</t>
        </is>
      </c>
      <c r="C2" s="160" t="inlineStr">
        <is>
          <t>Allowed / example value</t>
        </is>
      </c>
      <c r="D2" s="160" t="inlineStr">
        <is>
          <t>Notes</t>
        </is>
      </c>
    </row>
    <row r="3">
      <c r="A3" s="147" t="inlineStr">
        <is>
          <t>Antiscalant_Enabled</t>
        </is>
      </c>
      <c r="B3" s="147" t="inlineStr">
        <is>
          <t>Enable Anti-Scalant panel</t>
        </is>
      </c>
      <c r="C3" s="147" t="inlineStr">
        <is>
          <t>Y / N</t>
        </is>
      </c>
      <c r="D3" s="147" t="inlineStr">
        <is>
          <t>Use exact WAVE product label below.</t>
        </is>
      </c>
    </row>
    <row r="4">
      <c r="A4" s="147" t="inlineStr">
        <is>
          <t>Antiscalant_Type</t>
        </is>
      </c>
      <c r="B4" s="147" t="inlineStr">
        <is>
          <t>Anti-scalant product</t>
        </is>
      </c>
      <c r="C4" s="147" t="inlineStr">
        <is>
          <t>&lt;exact WAVE combo label&gt;</t>
        </is>
      </c>
      <c r="D4" s="147" t="inlineStr">
        <is>
          <t>Do not abbreviate; exact UI label is required.</t>
        </is>
      </c>
    </row>
    <row r="5">
      <c r="A5" s="147" t="inlineStr">
        <is>
          <t>Antiscalant_Dose_mgL</t>
        </is>
      </c>
      <c r="B5" s="147" t="inlineStr">
        <is>
          <t>Anti-scalant dose</t>
        </is>
      </c>
      <c r="C5" s="147" t="inlineStr">
        <is>
          <t>2.5</t>
        </is>
      </c>
      <c r="D5" s="147" t="inlineStr">
        <is>
          <t>mg/L, must be &gt;= 0.</t>
        </is>
      </c>
    </row>
    <row r="6">
      <c r="A6" s="147" t="inlineStr">
        <is>
          <t>Dechlorinator_Enabled</t>
        </is>
      </c>
      <c r="B6" s="147" t="inlineStr">
        <is>
          <t>Enable Dechlorinator panel</t>
        </is>
      </c>
      <c r="C6" s="147" t="inlineStr">
        <is>
          <t>Y / N</t>
        </is>
      </c>
      <c r="D6" s="147" t="str"/>
    </row>
    <row r="7">
      <c r="A7" s="147" t="inlineStr">
        <is>
          <t>Dechlorinator_Type</t>
        </is>
      </c>
      <c r="B7" s="147" t="inlineStr">
        <is>
          <t>Dechlorinator product</t>
        </is>
      </c>
      <c r="C7" s="147" t="inlineStr">
        <is>
          <t>&lt;exact WAVE combo label&gt;</t>
        </is>
      </c>
      <c r="D7" s="147" t="inlineStr">
        <is>
          <t>Exact UI label is required.</t>
        </is>
      </c>
    </row>
    <row r="8">
      <c r="A8" s="147" t="inlineStr">
        <is>
          <t>Dechlorinator_Dose_mgL</t>
        </is>
      </c>
      <c r="B8" s="147" t="inlineStr">
        <is>
          <t>Dechlorinator dose</t>
        </is>
      </c>
      <c r="C8" s="147" t="inlineStr">
        <is>
          <t>1.0</t>
        </is>
      </c>
      <c r="D8" s="147" t="inlineStr">
        <is>
          <t>mg/L, must be &gt;= 0.</t>
        </is>
      </c>
    </row>
    <row r="9">
      <c r="A9" s="147" t="inlineStr">
        <is>
          <t>Chemical_Temperature_Mode</t>
        </is>
      </c>
      <c r="B9" s="147" t="inlineStr">
        <is>
          <t>Chemical Adjustment temperature mode</t>
        </is>
      </c>
      <c r="C9" s="147" t="inlineStr">
        <is>
          <t>Minimum / Design / Maximum / Specify</t>
        </is>
      </c>
      <c r="D9" s="147" t="str"/>
    </row>
    <row r="10">
      <c r="A10" s="147" t="inlineStr">
        <is>
          <t>Chemical_Temperature_C</t>
        </is>
      </c>
      <c r="B10" s="147" t="inlineStr">
        <is>
          <t>Specified chemical-adjustment temperature</t>
        </is>
      </c>
      <c r="C10" s="147" t="inlineStr">
        <is>
          <t>25</t>
        </is>
      </c>
      <c r="D10" s="147" t="inlineStr">
        <is>
          <t>Required only when mode=Specify.</t>
        </is>
      </c>
    </row>
    <row r="11">
      <c r="A11" s="147" t="inlineStr">
        <is>
          <t>Chemical_Recovery_Mode</t>
        </is>
      </c>
      <c r="B11" s="147" t="inlineStr">
        <is>
          <t>Chemical Adjustment RO recovery source</t>
        </is>
      </c>
      <c r="C11" s="147" t="inlineStr">
        <is>
          <t>Basic default / Specify / Based on RO config</t>
        </is>
      </c>
      <c r="D11" s="147" t="str"/>
    </row>
    <row r="12">
      <c r="A12" s="147" t="inlineStr">
        <is>
          <t>Chemical_Recovery_pct</t>
        </is>
      </c>
      <c r="B12" s="147" t="inlineStr">
        <is>
          <t>Specified chemical-adjustment recovery</t>
        </is>
      </c>
      <c r="C12" s="147" t="inlineStr">
        <is>
          <t>75</t>
        </is>
      </c>
      <c r="D12" s="147" t="inlineStr">
        <is>
          <t>Required only when mode=Specify.</t>
        </is>
      </c>
    </row>
    <row r="13">
      <c r="A13" s="147" t="inlineStr">
        <is>
          <t>Compaction_Enabled</t>
        </is>
      </c>
      <c r="B13" s="147" t="inlineStr">
        <is>
          <t>Open and configure Compaction</t>
        </is>
      </c>
      <c r="C13" s="147" t="inlineStr">
        <is>
          <t>Y / N</t>
        </is>
      </c>
      <c r="D13" s="147" t="inlineStr">
        <is>
          <t>First live use is fail-closed and logs full UI inventory.</t>
        </is>
      </c>
    </row>
    <row r="14">
      <c r="A14" s="147" t="inlineStr">
        <is>
          <t>Compaction_Mode</t>
        </is>
      </c>
      <c r="B14" s="147" t="inlineStr">
        <is>
          <t>Compaction mode</t>
        </is>
      </c>
      <c r="C14" s="147" t="inlineStr">
        <is>
          <t>&lt;exact WAVE mode label&gt;</t>
        </is>
      </c>
      <c r="D14" s="147" t="inlineStr">
        <is>
          <t>Optional if dialog has no mode selector.</t>
        </is>
      </c>
    </row>
    <row r="15">
      <c r="A15" s="147" t="inlineStr">
        <is>
          <t>Compaction_Value</t>
        </is>
      </c>
      <c r="B15" s="147" t="inlineStr">
        <is>
          <t>Compaction numeric value</t>
        </is>
      </c>
      <c r="C15" s="147" t="inlineStr">
        <is>
          <t>3</t>
        </is>
      </c>
      <c r="D15" s="147" t="inlineStr">
        <is>
          <t>Only written when exactly one editable numeric field exists.</t>
        </is>
      </c>
    </row>
    <row r="16">
      <c r="A16" s="147" t="inlineStr">
        <is>
          <t>RO_TOC_Rejection_Enabled</t>
        </is>
      </c>
      <c r="B16" s="147" t="inlineStr">
        <is>
          <t>Enable RO TOC Rejection setting</t>
        </is>
      </c>
      <c r="C16" s="147" t="inlineStr">
        <is>
          <t>Y / N</t>
        </is>
      </c>
      <c r="D16" s="147" t="str"/>
    </row>
    <row r="17">
      <c r="A17" s="147" t="inlineStr">
        <is>
          <t>RO_TOC_Rejection_pct</t>
        </is>
      </c>
      <c r="B17" s="147" t="inlineStr">
        <is>
          <t>TOC rejection</t>
        </is>
      </c>
      <c r="C17" s="147" t="inlineStr">
        <is>
          <t>92</t>
        </is>
      </c>
      <c r="D17" s="147" t="inlineStr">
        <is>
          <t>0–100%.</t>
        </is>
      </c>
    </row>
    <row r="18">
      <c r="A18" s="147" t="str"/>
      <c r="B18" s="147" t="str"/>
      <c r="C18" s="147" t="str"/>
      <c r="D18" s="147" t="str"/>
    </row>
    <row r="19">
      <c r="A19" s="147" t="inlineStr">
        <is>
          <t>Important</t>
        </is>
      </c>
      <c r="B19" s="147" t="inlineStr">
        <is>
          <t>Chemical/Special Feature cases should normally be run one case per fresh WAVE project.</t>
        </is>
      </c>
      <c r="C19" s="147" t="str"/>
      <c r="D19" s="147" t="inlineStr">
        <is>
          <t>Use --allow-experimental-ro. Multi-case chemistry batches require --allow-experimental-batch.</t>
        </is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I4"/>
  <sheetViews>
    <sheetView workbookViewId="0">
      <selection activeCell="A1" sqref="A1"/>
    </sheetView>
  </sheetViews>
  <sheetFormatPr baseColWidth="8" defaultRowHeight="15"/>
  <sheetData>
    <row r="1">
      <c r="A1" s="126" t="inlineStr">
        <is>
          <t>Batch_Order</t>
        </is>
      </c>
      <c r="B1" s="126" t="inlineStr">
        <is>
          <t>Batch_Group</t>
        </is>
      </c>
      <c r="C1" s="126" t="inlineStr">
        <is>
          <t>Run_Enabled</t>
        </is>
      </c>
      <c r="D1" s="126" t="inlineStr">
        <is>
          <t>Case_ID</t>
        </is>
      </c>
      <c r="E1" s="126" t="inlineStr">
        <is>
          <t>Recommended_PDF_Name</t>
        </is>
      </c>
      <c r="F1" s="126" t="inlineStr">
        <is>
          <t>Fresh_Project_Required</t>
        </is>
      </c>
      <c r="G1" s="126" t="inlineStr">
        <is>
          <t>Test_Lane</t>
        </is>
      </c>
      <c r="H1" s="126" t="inlineStr">
        <is>
          <t>Expected_Tier</t>
        </is>
      </c>
      <c r="I1" s="126" t="inlineStr">
        <is>
          <t>Test_Purpose</t>
        </is>
      </c>
      <c r="J1" s="126" t="inlineStr">
        <is>
          <t>Run_Status</t>
        </is>
      </c>
      <c r="K1" s="126" t="inlineStr">
        <is>
          <t>Notes</t>
        </is>
      </c>
      <c r="L1" s="126" t="inlineStr">
        <is>
          <t>WAVE_Library_Selection</t>
        </is>
      </c>
      <c r="M1" s="126" t="inlineStr">
        <is>
          <t>Feed_Flow_m3h</t>
        </is>
      </c>
      <c r="N1" s="126" t="inlineStr">
        <is>
          <t>Temperature_Min_C</t>
        </is>
      </c>
      <c r="O1" s="126" t="inlineStr">
        <is>
          <t>Temperature_Design_C</t>
        </is>
      </c>
      <c r="P1" s="126" t="inlineStr">
        <is>
          <t>Temperature_Max_C</t>
        </is>
      </c>
      <c r="Q1" s="126" t="inlineStr">
        <is>
          <t>Pass_Count</t>
        </is>
      </c>
      <c r="R1" s="126" t="inlineStr">
        <is>
          <t>Pass1_Recovery_pct</t>
        </is>
      </c>
      <c r="S1" s="126" t="inlineStr">
        <is>
          <t>Pass1_Temperature_Mode</t>
        </is>
      </c>
      <c r="T1" s="126" t="inlineStr">
        <is>
          <t>Pass1_Temperature_C</t>
        </is>
      </c>
      <c r="U1" s="126" t="inlineStr">
        <is>
          <t>Pass1_Flow_Factor</t>
        </is>
      </c>
      <c r="V1" s="126" t="inlineStr">
        <is>
          <t>Pass1_Permeate_Back_Pressure_bar</t>
        </is>
      </c>
      <c r="W1" s="126" t="inlineStr">
        <is>
          <t>Pass1_Stage_Count</t>
        </is>
      </c>
      <c r="X1" s="126" t="inlineStr">
        <is>
          <t>P1S1_PV</t>
        </is>
      </c>
      <c r="Y1" s="126" t="inlineStr">
        <is>
          <t>P1S1_Elements_per_PV</t>
        </is>
      </c>
      <c r="Z1" s="126" t="inlineStr">
        <is>
          <t>P1S1_Membrane</t>
        </is>
      </c>
      <c r="AA1" s="126" t="inlineStr">
        <is>
          <t>P1S1_Stage_Back_Pressure_bar</t>
        </is>
      </c>
      <c r="AB1" s="126" t="inlineStr">
        <is>
          <t>P1S1_Boost_Pressure_bar</t>
        </is>
      </c>
      <c r="AC1" s="126" t="inlineStr">
        <is>
          <t>P1S1_Flow_Factor</t>
        </is>
      </c>
      <c r="AD1" s="126" t="inlineStr">
        <is>
          <t>P1S2_PV</t>
        </is>
      </c>
      <c r="AE1" s="126" t="inlineStr">
        <is>
          <t>P1S2_Elements_per_PV</t>
        </is>
      </c>
      <c r="AF1" s="126" t="inlineStr">
        <is>
          <t>P1S2_Membrane</t>
        </is>
      </c>
      <c r="AG1" s="126" t="inlineStr">
        <is>
          <t>P1S2_Stage_Back_Pressure_bar</t>
        </is>
      </c>
      <c r="AH1" s="126" t="inlineStr">
        <is>
          <t>P1S2_Boost_Pressure_bar</t>
        </is>
      </c>
      <c r="AI1" s="126" t="inlineStr">
        <is>
          <t>P1S2_Flow_Factor</t>
        </is>
      </c>
      <c r="AJ1" s="126" t="inlineStr">
        <is>
          <t>P1S3_PV</t>
        </is>
      </c>
      <c r="AK1" s="126" t="inlineStr">
        <is>
          <t>P1S3_Elements_per_PV</t>
        </is>
      </c>
      <c r="AL1" s="126" t="inlineStr">
        <is>
          <t>P1S3_Membrane</t>
        </is>
      </c>
      <c r="AM1" s="126" t="inlineStr">
        <is>
          <t>P1S3_Stage_Back_Pressure_bar</t>
        </is>
      </c>
      <c r="AN1" s="126" t="inlineStr">
        <is>
          <t>P1S3_Boost_Pressure_bar</t>
        </is>
      </c>
      <c r="AO1" s="126" t="inlineStr">
        <is>
          <t>P1S3_Flow_Factor</t>
        </is>
      </c>
      <c r="AP1" s="126" t="inlineStr">
        <is>
          <t>P1S4_PV</t>
        </is>
      </c>
      <c r="AQ1" s="126" t="inlineStr">
        <is>
          <t>P1S4_Elements_per_PV</t>
        </is>
      </c>
      <c r="AR1" s="126" t="inlineStr">
        <is>
          <t>P1S4_Membrane</t>
        </is>
      </c>
      <c r="AS1" s="126" t="inlineStr">
        <is>
          <t>P1S4_Stage_Back_Pressure_bar</t>
        </is>
      </c>
      <c r="AT1" s="126" t="inlineStr">
        <is>
          <t>P1S4_Boost_Pressure_bar</t>
        </is>
      </c>
      <c r="AU1" s="126" t="inlineStr">
        <is>
          <t>P1S4_Flow_Factor</t>
        </is>
      </c>
      <c r="AV1" s="126" t="inlineStr">
        <is>
          <t>P1S5_PV</t>
        </is>
      </c>
      <c r="AW1" s="126" t="inlineStr">
        <is>
          <t>P1S5_Elements_per_PV</t>
        </is>
      </c>
      <c r="AX1" s="126" t="inlineStr">
        <is>
          <t>P1S5_Membrane</t>
        </is>
      </c>
      <c r="AY1" s="126" t="inlineStr">
        <is>
          <t>P1S5_Stage_Back_Pressure_bar</t>
        </is>
      </c>
      <c r="AZ1" s="126" t="inlineStr">
        <is>
          <t>P1S5_Boost_Pressure_bar</t>
        </is>
      </c>
      <c r="BA1" s="126" t="inlineStr">
        <is>
          <t>P1S5_Flow_Factor</t>
        </is>
      </c>
      <c r="BB1" s="126" t="inlineStr">
        <is>
          <t>Pass2_Recovery_pct</t>
        </is>
      </c>
      <c r="BC1" s="126" t="inlineStr">
        <is>
          <t>Pass2_Temperature_Mode</t>
        </is>
      </c>
      <c r="BD1" s="126" t="inlineStr">
        <is>
          <t>Pass2_Temperature_C</t>
        </is>
      </c>
      <c r="BE1" s="126" t="inlineStr">
        <is>
          <t>Pass2_Flow_Factor</t>
        </is>
      </c>
      <c r="BF1" s="126" t="inlineStr">
        <is>
          <t>Pass2_Permeate_Back_Pressure_bar</t>
        </is>
      </c>
      <c r="BG1" s="126" t="inlineStr">
        <is>
          <t>Pass2_Stage_Count</t>
        </is>
      </c>
      <c r="BH1" s="126" t="inlineStr">
        <is>
          <t>P2S1_PV</t>
        </is>
      </c>
      <c r="BI1" s="126" t="inlineStr">
        <is>
          <t>P2S1_Elements_per_PV</t>
        </is>
      </c>
      <c r="BJ1" s="126" t="inlineStr">
        <is>
          <t>P2S1_Membrane</t>
        </is>
      </c>
      <c r="BK1" s="126" t="inlineStr">
        <is>
          <t>P2S1_Stage_Back_Pressure_bar</t>
        </is>
      </c>
      <c r="BL1" s="126" t="inlineStr">
        <is>
          <t>P2S1_Boost_Pressure_bar</t>
        </is>
      </c>
      <c r="BM1" s="126" t="inlineStr">
        <is>
          <t>P2S1_Flow_Factor</t>
        </is>
      </c>
      <c r="BN1" s="126" t="inlineStr">
        <is>
          <t>P2S2_PV</t>
        </is>
      </c>
      <c r="BO1" s="126" t="inlineStr">
        <is>
          <t>P2S2_Elements_per_PV</t>
        </is>
      </c>
      <c r="BP1" s="126" t="inlineStr">
        <is>
          <t>P2S2_Membrane</t>
        </is>
      </c>
      <c r="BQ1" s="126" t="inlineStr">
        <is>
          <t>P2S2_Stage_Back_Pressure_bar</t>
        </is>
      </c>
      <c r="BR1" s="126" t="inlineStr">
        <is>
          <t>P2S2_Boost_Pressure_bar</t>
        </is>
      </c>
      <c r="BS1" s="126" t="inlineStr">
        <is>
          <t>P2S2_Flow_Factor</t>
        </is>
      </c>
      <c r="BT1" s="126" t="inlineStr">
        <is>
          <t>P2S3_PV</t>
        </is>
      </c>
      <c r="BU1" s="126" t="inlineStr">
        <is>
          <t>P2S3_Elements_per_PV</t>
        </is>
      </c>
      <c r="BV1" s="126" t="inlineStr">
        <is>
          <t>P2S3_Membrane</t>
        </is>
      </c>
      <c r="BW1" s="126" t="inlineStr">
        <is>
          <t>P2S3_Stage_Back_Pressure_bar</t>
        </is>
      </c>
      <c r="BX1" s="126" t="inlineStr">
        <is>
          <t>P2S3_Boost_Pressure_bar</t>
        </is>
      </c>
      <c r="BY1" s="126" t="inlineStr">
        <is>
          <t>P2S3_Flow_Factor</t>
        </is>
      </c>
      <c r="BZ1" s="126" t="inlineStr">
        <is>
          <t>P2S4_PV</t>
        </is>
      </c>
      <c r="CA1" s="126" t="inlineStr">
        <is>
          <t>P2S4_Elements_per_PV</t>
        </is>
      </c>
      <c r="CB1" s="126" t="inlineStr">
        <is>
          <t>P2S4_Membrane</t>
        </is>
      </c>
      <c r="CC1" s="126" t="inlineStr">
        <is>
          <t>P2S4_Stage_Back_Pressure_bar</t>
        </is>
      </c>
      <c r="CD1" s="126" t="inlineStr">
        <is>
          <t>P2S4_Boost_Pressure_bar</t>
        </is>
      </c>
      <c r="CE1" s="126" t="inlineStr">
        <is>
          <t>P2S4_Flow_Factor</t>
        </is>
      </c>
      <c r="CF1" s="126" t="inlineStr">
        <is>
          <t>P2S5_PV</t>
        </is>
      </c>
      <c r="CG1" s="126" t="inlineStr">
        <is>
          <t>P2S5_Elements_per_PV</t>
        </is>
      </c>
      <c r="CH1" s="126" t="inlineStr">
        <is>
          <t>P2S5_Membrane</t>
        </is>
      </c>
      <c r="CI1" s="126" t="inlineStr">
        <is>
          <t>P2S5_Stage_Back_Pressure_bar</t>
        </is>
      </c>
      <c r="CJ1" s="126" t="inlineStr">
        <is>
          <t>P2S5_Boost_Pressure_bar</t>
        </is>
      </c>
      <c r="CK1" s="126" t="inlineStr">
        <is>
          <t>P2S5_Flow_Factor</t>
        </is>
      </c>
      <c r="CL1" s="126" t="inlineStr">
        <is>
          <t>Acid_Enabled</t>
        </is>
      </c>
      <c r="CM1" s="126" t="inlineStr">
        <is>
          <t>Acid_Type</t>
        </is>
      </c>
      <c r="CN1" s="126" t="inlineStr">
        <is>
          <t>Acid_Target_pH</t>
        </is>
      </c>
      <c r="CO1" s="126" t="inlineStr">
        <is>
          <t>Degas_Enabled</t>
        </is>
      </c>
      <c r="CP1" s="126" t="inlineStr">
        <is>
          <t>Degas_Mode</t>
        </is>
      </c>
      <c r="CQ1" s="126" t="inlineStr">
        <is>
          <t>Degas_Value</t>
        </is>
      </c>
      <c r="CR1" s="126" t="inlineStr">
        <is>
          <t>Base_Enabled</t>
        </is>
      </c>
      <c r="CS1" s="126" t="inlineStr">
        <is>
          <t>Base_Type</t>
        </is>
      </c>
      <c r="CT1" s="126" t="inlineStr">
        <is>
          <t>Base_Target_pH</t>
        </is>
      </c>
      <c r="CU1" s="126" t="inlineStr">
        <is>
          <t>Antiscalant_Enabled</t>
        </is>
      </c>
      <c r="CV1" s="126" t="inlineStr">
        <is>
          <t>Antiscalant_Type</t>
        </is>
      </c>
      <c r="CW1" s="126" t="inlineStr">
        <is>
          <t>Antiscalant_Dose_mgL</t>
        </is>
      </c>
      <c r="CX1" s="126" t="inlineStr">
        <is>
          <t>Dechlorinator_Enabled</t>
        </is>
      </c>
      <c r="CY1" s="126" t="inlineStr">
        <is>
          <t>Dechlorinator_Type</t>
        </is>
      </c>
      <c r="CZ1" s="126" t="inlineStr">
        <is>
          <t>Dechlorinator_Dose_mgL</t>
        </is>
      </c>
      <c r="DA1" s="126" t="inlineStr">
        <is>
          <t>Chemical_Temperature_Mode</t>
        </is>
      </c>
      <c r="DB1" s="126" t="inlineStr">
        <is>
          <t>Chemical_Temperature_C</t>
        </is>
      </c>
      <c r="DC1" s="126" t="inlineStr">
        <is>
          <t>Chemical_Recovery_Mode</t>
        </is>
      </c>
      <c r="DD1" s="126" t="inlineStr">
        <is>
          <t>Chemical_Recovery_pct</t>
        </is>
      </c>
      <c r="DE1" s="126" t="inlineStr">
        <is>
          <t>Compaction_Enabled</t>
        </is>
      </c>
      <c r="DF1" s="126" t="inlineStr">
        <is>
          <t>Compaction_Mode</t>
        </is>
      </c>
      <c r="DG1" s="126" t="inlineStr">
        <is>
          <t>Compaction_Value</t>
        </is>
      </c>
      <c r="DH1" s="126" t="inlineStr">
        <is>
          <t>RO_TOC_Rejection_Enabled</t>
        </is>
      </c>
      <c r="DI1" s="126" t="inlineStr">
        <is>
          <t>RO_TOC_Rejection_pct</t>
        </is>
      </c>
    </row>
    <row r="2">
      <c r="A2" s="165" t="n">
        <v>1</v>
      </c>
      <c r="B2" s="165" t="inlineStr">
        <is>
          <t>NF_BASELINE</t>
        </is>
      </c>
      <c r="C2" s="165" t="inlineStr">
        <is>
          <t>Y</t>
        </is>
      </c>
      <c r="D2" s="166" t="inlineStr">
        <is>
          <t>V46_NF_001</t>
        </is>
      </c>
      <c r="E2" s="165" t="inlineStr">
        <is>
          <t>V46_NF_001_NF270_HighHardness_R75.pdf</t>
        </is>
      </c>
      <c r="F2" s="165" t="inlineStr">
        <is>
          <t>N</t>
        </is>
      </c>
      <c r="G2" s="165" t="inlineStr">
        <is>
          <t>nf/shared-ro-ui</t>
        </is>
      </c>
      <c r="H2" s="165" t="inlineStr">
        <is>
          <t>experimental</t>
        </is>
      </c>
      <c r="I2" s="165" t="inlineStr">
        <is>
          <t>NF shared RO/NF configuration smoke test</t>
        </is>
      </c>
      <c r="J2" s="165" t="inlineStr">
        <is>
          <t>Not Started</t>
        </is>
      </c>
      <c r="K2" s="165" t="inlineStr">
        <is>
          <t>NF membrane is selected from WAVE Reverse Osmosis Pass Configuration. Run the first case alone with --allow-experimental-ro.</t>
        </is>
      </c>
      <c r="L2" s="165" t="inlineStr">
        <is>
          <t>Well Water - High Hardness</t>
        </is>
      </c>
      <c r="M2" s="165" t="n">
        <v>100</v>
      </c>
      <c r="N2" s="165" t="n">
        <v>10</v>
      </c>
      <c r="O2" s="165" t="n">
        <v>25</v>
      </c>
      <c r="P2" s="165" t="n">
        <v>35</v>
      </c>
      <c r="Q2" s="165" t="n">
        <v>1</v>
      </c>
      <c r="R2" s="165" t="n">
        <v>75</v>
      </c>
      <c r="S2" s="165" t="inlineStr">
        <is>
          <t>Design</t>
        </is>
      </c>
      <c r="T2" s="165" t="n">
        <v>25</v>
      </c>
      <c r="U2" s="165" t="n">
        <v>0.85</v>
      </c>
      <c r="V2" s="165" t="n">
        <v>0</v>
      </c>
      <c r="W2" s="165" t="n">
        <v>1</v>
      </c>
      <c r="X2" s="165" t="n">
        <v>10</v>
      </c>
      <c r="Y2" s="165" t="n">
        <v>6</v>
      </c>
      <c r="Z2" s="165" t="inlineStr">
        <is>
          <t>NF270-400/34</t>
        </is>
      </c>
      <c r="AA2" s="165" t="n">
        <v>0</v>
      </c>
      <c r="AB2" s="165" t="n">
        <v>0</v>
      </c>
      <c r="AC2" s="165" t="n">
        <v>0.85</v>
      </c>
      <c r="AD2" s="165" t="n"/>
      <c r="AE2" s="165" t="n"/>
      <c r="AF2" s="165" t="n"/>
      <c r="AG2" s="165" t="n"/>
      <c r="AH2" s="165" t="n"/>
      <c r="AI2" s="165" t="n"/>
      <c r="AJ2" s="165" t="n"/>
      <c r="AK2" s="165" t="n"/>
      <c r="AL2" s="165" t="n"/>
      <c r="AM2" s="165" t="n"/>
      <c r="AN2" s="165" t="n"/>
      <c r="AO2" s="165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</row>
    <row r="3">
      <c r="A3" s="126" t="n">
        <v>2</v>
      </c>
      <c r="B3" s="126" t="inlineStr">
        <is>
          <t>NF_BASELINE</t>
        </is>
      </c>
      <c r="C3" s="126" t="inlineStr">
        <is>
          <t>Y</t>
        </is>
      </c>
      <c r="D3" s="167" t="inlineStr">
        <is>
          <t>V46_NF_002</t>
        </is>
      </c>
      <c r="E3" s="126" t="inlineStr">
        <is>
          <t>V46_NF_002_NF90_HighHardness_R75.pdf</t>
        </is>
      </c>
      <c r="F3" s="126" t="inlineStr">
        <is>
          <t>N</t>
        </is>
      </c>
      <c r="G3" s="126" t="inlineStr">
        <is>
          <t>nf/shared-ro-ui</t>
        </is>
      </c>
      <c r="H3" s="126" t="inlineStr">
        <is>
          <t>experimental</t>
        </is>
      </c>
      <c r="I3" s="126" t="inlineStr">
        <is>
          <t>NF90 family membrane-selection regression test</t>
        </is>
      </c>
      <c r="J3" s="126" t="inlineStr">
        <is>
          <t>Not Started</t>
        </is>
      </c>
      <c r="K3" s="126" t="inlineStr">
        <is>
          <t>NF membrane is selected from WAVE Reverse Osmosis Pass Configuration. Run the first case alone with --allow-experimental-ro.</t>
        </is>
      </c>
      <c r="L3" s="126" t="inlineStr">
        <is>
          <t>Well Water - High Hardness</t>
        </is>
      </c>
      <c r="M3" s="126" t="n">
        <v>100</v>
      </c>
      <c r="N3" s="126" t="n">
        <v>10</v>
      </c>
      <c r="O3" s="126" t="n">
        <v>25</v>
      </c>
      <c r="P3" s="126" t="n">
        <v>35</v>
      </c>
      <c r="Q3" s="126" t="n">
        <v>1</v>
      </c>
      <c r="R3" s="126" t="n">
        <v>75</v>
      </c>
      <c r="S3" s="126" t="inlineStr">
        <is>
          <t>Design</t>
        </is>
      </c>
      <c r="T3" s="126" t="n">
        <v>25</v>
      </c>
      <c r="U3" s="126" t="n">
        <v>0.85</v>
      </c>
      <c r="V3" s="126" t="n">
        <v>0</v>
      </c>
      <c r="W3" s="126" t="n">
        <v>1</v>
      </c>
      <c r="X3" s="126" t="n">
        <v>10</v>
      </c>
      <c r="Y3" s="126" t="n">
        <v>6</v>
      </c>
      <c r="Z3" s="126" t="inlineStr">
        <is>
          <t>NF90-400/34</t>
        </is>
      </c>
      <c r="AA3" s="126" t="n">
        <v>0</v>
      </c>
      <c r="AB3" s="126" t="n">
        <v>0</v>
      </c>
      <c r="AC3" s="126" t="n">
        <v>0.85</v>
      </c>
      <c r="AD3" s="126" t="n"/>
      <c r="AE3" s="126" t="n"/>
      <c r="AF3" s="126" t="n"/>
      <c r="AG3" s="126" t="n"/>
      <c r="AH3" s="126" t="n"/>
      <c r="AI3" s="126" t="n"/>
      <c r="AJ3" s="126" t="n"/>
      <c r="AK3" s="126" t="n"/>
      <c r="AL3" s="126" t="n"/>
      <c r="AM3" s="126" t="n"/>
      <c r="AN3" s="126" t="n"/>
      <c r="AO3" s="126" t="n"/>
      <c r="AP3" s="126" t="n"/>
      <c r="AQ3" s="126" t="n"/>
      <c r="AR3" s="126" t="n"/>
      <c r="AS3" s="126" t="n"/>
      <c r="AT3" s="126" t="n"/>
      <c r="AU3" s="126" t="n"/>
      <c r="AV3" s="126" t="n"/>
      <c r="AW3" s="126" t="n"/>
      <c r="AX3" s="126" t="n"/>
      <c r="AY3" s="126" t="n"/>
      <c r="AZ3" s="126" t="n"/>
      <c r="BA3" s="126" t="n"/>
      <c r="BB3" s="126" t="n"/>
      <c r="BC3" s="126" t="n"/>
      <c r="BD3" s="126" t="n"/>
      <c r="BE3" s="126" t="n"/>
      <c r="BF3" s="126" t="n"/>
      <c r="BG3" s="126" t="n"/>
      <c r="BH3" s="126" t="n"/>
      <c r="BI3" s="126" t="n"/>
      <c r="BJ3" s="126" t="n"/>
      <c r="BK3" s="126" t="n"/>
      <c r="BL3" s="126" t="n"/>
      <c r="BM3" s="126" t="n"/>
      <c r="BN3" s="126" t="n"/>
      <c r="BO3" s="126" t="n"/>
      <c r="BP3" s="126" t="n"/>
      <c r="BQ3" s="126" t="n"/>
      <c r="BR3" s="126" t="n"/>
      <c r="BS3" s="126" t="n"/>
      <c r="BT3" s="126" t="n"/>
      <c r="BU3" s="126" t="n"/>
      <c r="BV3" s="126" t="n"/>
      <c r="BW3" s="126" t="n"/>
      <c r="BX3" s="126" t="n"/>
      <c r="BY3" s="126" t="n"/>
      <c r="BZ3" s="126" t="n"/>
      <c r="CA3" s="126" t="n"/>
      <c r="CB3" s="126" t="n"/>
      <c r="CC3" s="126" t="n"/>
      <c r="CD3" s="126" t="n"/>
      <c r="CE3" s="126" t="n"/>
      <c r="CF3" s="126" t="n"/>
      <c r="CG3" s="126" t="n"/>
      <c r="CH3" s="126" t="n"/>
      <c r="CI3" s="126" t="n"/>
      <c r="CJ3" s="126" t="n"/>
      <c r="CK3" s="126" t="n"/>
      <c r="CL3" s="126" t="n"/>
      <c r="CM3" s="126" t="n"/>
      <c r="CN3" s="126" t="n"/>
      <c r="CO3" s="126" t="n"/>
      <c r="CP3" s="126" t="n"/>
      <c r="CQ3" s="126" t="n"/>
      <c r="CR3" s="126" t="n"/>
      <c r="CS3" s="126" t="n"/>
      <c r="CT3" s="126" t="n"/>
      <c r="CU3" s="126" t="n"/>
      <c r="CV3" s="126" t="n"/>
      <c r="CW3" s="126" t="n"/>
      <c r="CX3" s="126" t="n"/>
      <c r="CY3" s="126" t="n"/>
      <c r="CZ3" s="126" t="n"/>
      <c r="DA3" s="126" t="n"/>
      <c r="DB3" s="126" t="n"/>
      <c r="DC3" s="126" t="n"/>
      <c r="DD3" s="126" t="n"/>
      <c r="DE3" s="126" t="n"/>
      <c r="DF3" s="126" t="n"/>
      <c r="DG3" s="126" t="n"/>
      <c r="DH3" s="126" t="n"/>
      <c r="DI3" s="126" t="n"/>
    </row>
    <row r="4">
      <c r="A4" s="126" t="n">
        <v>3</v>
      </c>
      <c r="B4" s="126" t="inlineStr">
        <is>
          <t>NF_BASELINE</t>
        </is>
      </c>
      <c r="C4" s="126" t="inlineStr">
        <is>
          <t>Y</t>
        </is>
      </c>
      <c r="D4" s="167" t="inlineStr">
        <is>
          <t>V46_NF_003</t>
        </is>
      </c>
      <c r="E4" s="126" t="inlineStr">
        <is>
          <t>V46_NF_003_NF270_MedHardness_R75.pdf</t>
        </is>
      </c>
      <c r="F4" s="126" t="inlineStr">
        <is>
          <t>N</t>
        </is>
      </c>
      <c r="G4" s="126" t="inlineStr">
        <is>
          <t>nf/shared-ro-ui</t>
        </is>
      </c>
      <c r="H4" s="126" t="inlineStr">
        <is>
          <t>experimental</t>
        </is>
      </c>
      <c r="I4" s="126" t="inlineStr">
        <is>
          <t>NF270 feed-profile transition and PDF smoke test</t>
        </is>
      </c>
      <c r="J4" s="126" t="inlineStr">
        <is>
          <t>Not Started</t>
        </is>
      </c>
      <c r="K4" s="126" t="inlineStr">
        <is>
          <t>NF membrane is selected from WAVE Reverse Osmosis Pass Configuration. Run the first case alone with --allow-experimental-ro.</t>
        </is>
      </c>
      <c r="L4" s="126" t="inlineStr">
        <is>
          <t>Well Water - Med Hardness</t>
        </is>
      </c>
      <c r="M4" s="126" t="n">
        <v>100</v>
      </c>
      <c r="N4" s="126" t="n">
        <v>10</v>
      </c>
      <c r="O4" s="126" t="n">
        <v>25</v>
      </c>
      <c r="P4" s="126" t="n">
        <v>35</v>
      </c>
      <c r="Q4" s="126" t="n">
        <v>1</v>
      </c>
      <c r="R4" s="126" t="n">
        <v>75</v>
      </c>
      <c r="S4" s="126" t="inlineStr">
        <is>
          <t>Design</t>
        </is>
      </c>
      <c r="T4" s="126" t="n">
        <v>25</v>
      </c>
      <c r="U4" s="126" t="n">
        <v>0.85</v>
      </c>
      <c r="V4" s="126" t="n">
        <v>0</v>
      </c>
      <c r="W4" s="126" t="n">
        <v>1</v>
      </c>
      <c r="X4" s="126" t="n">
        <v>10</v>
      </c>
      <c r="Y4" s="126" t="n">
        <v>6</v>
      </c>
      <c r="Z4" s="126" t="inlineStr">
        <is>
          <t>NF270-400/34</t>
        </is>
      </c>
      <c r="AA4" s="126" t="n">
        <v>0</v>
      </c>
      <c r="AB4" s="126" t="n">
        <v>0</v>
      </c>
      <c r="AC4" s="126" t="n">
        <v>0.85</v>
      </c>
      <c r="AD4" s="126" t="n"/>
      <c r="AE4" s="126" t="n"/>
      <c r="AF4" s="126" t="n"/>
      <c r="AG4" s="126" t="n"/>
      <c r="AH4" s="126" t="n"/>
      <c r="AI4" s="126" t="n"/>
      <c r="AJ4" s="126" t="n"/>
      <c r="AK4" s="126" t="n"/>
      <c r="AL4" s="126" t="n"/>
      <c r="AM4" s="126" t="n"/>
      <c r="AN4" s="126" t="n"/>
      <c r="AO4" s="126" t="n"/>
      <c r="AP4" s="126" t="n"/>
      <c r="AQ4" s="126" t="n"/>
      <c r="AR4" s="126" t="n"/>
      <c r="AS4" s="126" t="n"/>
      <c r="AT4" s="126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6" t="n"/>
      <c r="BE4" s="126" t="n"/>
      <c r="BF4" s="126" t="n"/>
      <c r="BG4" s="126" t="n"/>
      <c r="BH4" s="126" t="n"/>
      <c r="BI4" s="126" t="n"/>
      <c r="BJ4" s="126" t="n"/>
      <c r="BK4" s="126" t="n"/>
      <c r="BL4" s="126" t="n"/>
      <c r="BM4" s="126" t="n"/>
      <c r="BN4" s="126" t="n"/>
      <c r="BO4" s="126" t="n"/>
      <c r="BP4" s="126" t="n"/>
      <c r="BQ4" s="126" t="n"/>
      <c r="BR4" s="126" t="n"/>
      <c r="BS4" s="126" t="n"/>
      <c r="BT4" s="126" t="n"/>
      <c r="BU4" s="126" t="n"/>
      <c r="BV4" s="126" t="n"/>
      <c r="BW4" s="126" t="n"/>
      <c r="BX4" s="126" t="n"/>
      <c r="BY4" s="126" t="n"/>
      <c r="BZ4" s="126" t="n"/>
      <c r="CA4" s="126" t="n"/>
      <c r="CB4" s="126" t="n"/>
      <c r="CC4" s="126" t="n"/>
      <c r="CD4" s="126" t="n"/>
      <c r="CE4" s="126" t="n"/>
      <c r="CF4" s="126" t="n"/>
      <c r="CG4" s="126" t="n"/>
      <c r="CH4" s="126" t="n"/>
      <c r="CI4" s="126" t="n"/>
      <c r="CJ4" s="126" t="n"/>
      <c r="CK4" s="126" t="n"/>
      <c r="CL4" s="126" t="n"/>
      <c r="CM4" s="126" t="n"/>
      <c r="CN4" s="126" t="n"/>
      <c r="CO4" s="126" t="n"/>
      <c r="CP4" s="126" t="n"/>
      <c r="CQ4" s="126" t="n"/>
      <c r="CR4" s="126" t="n"/>
      <c r="CS4" s="126" t="n"/>
      <c r="CT4" s="126" t="n"/>
      <c r="CU4" s="126" t="n"/>
      <c r="CV4" s="126" t="n"/>
      <c r="CW4" s="126" t="n"/>
      <c r="CX4" s="126" t="n"/>
      <c r="CY4" s="126" t="n"/>
      <c r="CZ4" s="126" t="n"/>
      <c r="DA4" s="126" t="n"/>
      <c r="DB4" s="126" t="n"/>
      <c r="DC4" s="126" t="n"/>
      <c r="DD4" s="126" t="n"/>
      <c r="DE4" s="126" t="n"/>
      <c r="DF4" s="126" t="n"/>
      <c r="DG4" s="126" t="n"/>
      <c r="DH4" s="126" t="n"/>
      <c r="DI4" s="126" t="n"/>
    </row>
  </sheetData>
  <dataValidations count="1">
    <dataValidation sqref="J2:J4" showDropDown="0" showInputMessage="0" showErrorMessage="0" allowBlank="0" type="list">
      <formula1>"Not Started,Running,Success,Failed,Skipped"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style="146" min="1" max="1"/>
    <col width="72" customWidth="1" style="146" min="2" max="2"/>
  </cols>
  <sheetData>
    <row r="1" ht="28" customHeight="1" s="146">
      <c r="A1" s="179" t="inlineStr">
        <is>
          <t>V46 NF shared-UI smoke test</t>
        </is>
      </c>
      <c r="B1" s="29" t="n"/>
      <c r="C1" s="29" t="n"/>
      <c r="D1" s="29" t="n"/>
    </row>
    <row r="3">
      <c r="A3" s="175" t="inlineStr">
        <is>
          <t>Item</t>
        </is>
      </c>
      <c r="B3" s="175" t="inlineStr">
        <is>
          <t>Details</t>
        </is>
      </c>
    </row>
    <row r="4">
      <c r="A4" s="126" t="inlineStr">
        <is>
          <t>Why no new video first</t>
        </is>
      </c>
      <c r="B4" s="126" t="inlineStr">
        <is>
          <t>WAVE exposes NF90/NF200/NF270 in the same Reverse Osmosis Pass Configuration membrane list.</t>
        </is>
      </c>
    </row>
    <row r="5">
      <c r="A5" s="126" t="inlineStr">
        <is>
          <t>First live case</t>
        </is>
      </c>
      <c r="B5" s="126" t="inlineStr">
        <is>
          <t>V46_NF_001 — NF270-400/34, Well Water - High Hardness, 100 m³/h, 75% recovery, 1 pass / 1 stage.</t>
        </is>
      </c>
    </row>
    <row r="6">
      <c r="A6" s="126" t="inlineStr">
        <is>
          <t>Execution mode</t>
        </is>
      </c>
      <c r="B6" s="126" t="inlineStr">
        <is>
          <t>Run one case first. Do not use experimental batch until the NF baseline succeeds.</t>
        </is>
      </c>
    </row>
    <row r="7">
      <c r="A7" s="126" t="inlineStr">
        <is>
          <t>Expected reuse</t>
        </is>
      </c>
      <c r="B7" s="126" t="inlineStr">
        <is>
          <t>Feed setup, pass/stage, recovery, temperature, membrane combo, PDF export and recovery validation reuse the V45 RO path.</t>
        </is>
      </c>
    </row>
    <row r="8">
      <c r="A8" s="126" t="inlineStr">
        <is>
          <t>Escalation</t>
        </is>
      </c>
      <c r="B8" s="126" t="inlineStr">
        <is>
          <t>Only if a NF-specific screen or warning appears, capture that exact screen/short clip rather than re-recording the full workflow.</t>
        </is>
      </c>
    </row>
    <row r="9">
      <c r="A9" s="126" t="inlineStr">
        <is>
          <t>Next after success</t>
        </is>
      </c>
      <c r="B9" s="126" t="inlineStr">
        <is>
          <t>NF270 custom ion-composition case, then NF family switch and continuous-state reset.</t>
        </is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26" t="inlineStr">
        <is>
          <t>Batch_Order</t>
        </is>
      </c>
      <c r="B1" s="126" t="inlineStr">
        <is>
          <t>Batch_Group</t>
        </is>
      </c>
      <c r="C1" s="126" t="inlineStr">
        <is>
          <t>Run_Enabled</t>
        </is>
      </c>
      <c r="D1" s="126" t="inlineStr">
        <is>
          <t>Case_ID</t>
        </is>
      </c>
      <c r="E1" s="126" t="inlineStr">
        <is>
          <t>Recommended_PDF_Name</t>
        </is>
      </c>
      <c r="F1" s="126" t="inlineStr">
        <is>
          <t>Fresh_Project_Required</t>
        </is>
      </c>
      <c r="G1" s="126" t="inlineStr">
        <is>
          <t>Test_Lane</t>
        </is>
      </c>
      <c r="H1" s="126" t="inlineStr">
        <is>
          <t>Expected_Tier</t>
        </is>
      </c>
      <c r="I1" s="126" t="inlineStr">
        <is>
          <t>Test_Purpose</t>
        </is>
      </c>
      <c r="J1" s="126" t="inlineStr">
        <is>
          <t>Run_Status</t>
        </is>
      </c>
      <c r="K1" s="126" t="inlineStr">
        <is>
          <t>Notes</t>
        </is>
      </c>
      <c r="L1" s="126" t="inlineStr">
        <is>
          <t>WAVE_Library_Selection</t>
        </is>
      </c>
      <c r="M1" s="126" t="inlineStr">
        <is>
          <t>Feed_Flow_m3h</t>
        </is>
      </c>
      <c r="N1" s="126" t="inlineStr">
        <is>
          <t>Temperature_Min_C</t>
        </is>
      </c>
      <c r="O1" s="126" t="inlineStr">
        <is>
          <t>Temperature_Design_C</t>
        </is>
      </c>
      <c r="P1" s="126" t="inlineStr">
        <is>
          <t>Temperature_Max_C</t>
        </is>
      </c>
      <c r="Q1" s="126" t="inlineStr">
        <is>
          <t>Pass_Count</t>
        </is>
      </c>
      <c r="R1" s="126" t="inlineStr">
        <is>
          <t>Pass1_Recovery_pct</t>
        </is>
      </c>
      <c r="S1" s="126" t="inlineStr">
        <is>
          <t>Pass1_Temperature_Mode</t>
        </is>
      </c>
      <c r="T1" s="126" t="inlineStr">
        <is>
          <t>Pass1_Temperature_C</t>
        </is>
      </c>
      <c r="U1" s="126" t="inlineStr">
        <is>
          <t>Pass1_Flow_Factor</t>
        </is>
      </c>
      <c r="V1" s="126" t="inlineStr">
        <is>
          <t>Pass1_Permeate_Back_Pressure_bar</t>
        </is>
      </c>
      <c r="W1" s="126" t="inlineStr">
        <is>
          <t>Pass1_Stage_Count</t>
        </is>
      </c>
      <c r="X1" s="126" t="inlineStr">
        <is>
          <t>P1S1_PV</t>
        </is>
      </c>
      <c r="Y1" s="126" t="inlineStr">
        <is>
          <t>P1S1_Elements_per_PV</t>
        </is>
      </c>
      <c r="Z1" s="126" t="inlineStr">
        <is>
          <t>P1S1_Membrane</t>
        </is>
      </c>
      <c r="AA1" s="126" t="inlineStr">
        <is>
          <t>P1S1_Stage_Back_Pressure_bar</t>
        </is>
      </c>
      <c r="AB1" s="126" t="inlineStr">
        <is>
          <t>P1S1_Boost_Pressure_bar</t>
        </is>
      </c>
      <c r="AC1" s="126" t="inlineStr">
        <is>
          <t>P1S1_Flow_Factor</t>
        </is>
      </c>
      <c r="AD1" s="126" t="inlineStr">
        <is>
          <t>P1S2_PV</t>
        </is>
      </c>
      <c r="AE1" s="126" t="inlineStr">
        <is>
          <t>P1S2_Elements_per_PV</t>
        </is>
      </c>
      <c r="AF1" s="126" t="inlineStr">
        <is>
          <t>P1S2_Membrane</t>
        </is>
      </c>
      <c r="AG1" s="126" t="inlineStr">
        <is>
          <t>P1S2_Stage_Back_Pressure_bar</t>
        </is>
      </c>
      <c r="AH1" s="126" t="inlineStr">
        <is>
          <t>P1S2_Boost_Pressure_bar</t>
        </is>
      </c>
      <c r="AI1" s="126" t="inlineStr">
        <is>
          <t>P1S2_Flow_Factor</t>
        </is>
      </c>
      <c r="AJ1" s="126" t="inlineStr">
        <is>
          <t>P1S3_PV</t>
        </is>
      </c>
      <c r="AK1" s="126" t="inlineStr">
        <is>
          <t>P1S3_Elements_per_PV</t>
        </is>
      </c>
      <c r="AL1" s="126" t="inlineStr">
        <is>
          <t>P1S3_Membrane</t>
        </is>
      </c>
      <c r="AM1" s="126" t="inlineStr">
        <is>
          <t>P1S3_Stage_Back_Pressure_bar</t>
        </is>
      </c>
      <c r="AN1" s="126" t="inlineStr">
        <is>
          <t>P1S3_Boost_Pressure_bar</t>
        </is>
      </c>
      <c r="AO1" s="126" t="inlineStr">
        <is>
          <t>P1S3_Flow_Factor</t>
        </is>
      </c>
      <c r="AP1" s="126" t="inlineStr">
        <is>
          <t>P1S4_PV</t>
        </is>
      </c>
      <c r="AQ1" s="126" t="inlineStr">
        <is>
          <t>P1S4_Elements_per_PV</t>
        </is>
      </c>
      <c r="AR1" s="126" t="inlineStr">
        <is>
          <t>P1S4_Membrane</t>
        </is>
      </c>
      <c r="AS1" s="126" t="inlineStr">
        <is>
          <t>P1S4_Stage_Back_Pressure_bar</t>
        </is>
      </c>
      <c r="AT1" s="126" t="inlineStr">
        <is>
          <t>P1S4_Boost_Pressure_bar</t>
        </is>
      </c>
      <c r="AU1" s="126" t="inlineStr">
        <is>
          <t>P1S4_Flow_Factor</t>
        </is>
      </c>
      <c r="AV1" s="126" t="inlineStr">
        <is>
          <t>P1S5_PV</t>
        </is>
      </c>
      <c r="AW1" s="126" t="inlineStr">
        <is>
          <t>P1S5_Elements_per_PV</t>
        </is>
      </c>
      <c r="AX1" s="126" t="inlineStr">
        <is>
          <t>P1S5_Membrane</t>
        </is>
      </c>
      <c r="AY1" s="126" t="inlineStr">
        <is>
          <t>P1S5_Stage_Back_Pressure_bar</t>
        </is>
      </c>
      <c r="AZ1" s="126" t="inlineStr">
        <is>
          <t>P1S5_Boost_Pressure_bar</t>
        </is>
      </c>
      <c r="BA1" s="126" t="inlineStr">
        <is>
          <t>P1S5_Flow_Factor</t>
        </is>
      </c>
      <c r="BB1" s="126" t="inlineStr">
        <is>
          <t>Pass2_Recovery_pct</t>
        </is>
      </c>
      <c r="BC1" s="126" t="inlineStr">
        <is>
          <t>Pass2_Temperature_Mode</t>
        </is>
      </c>
      <c r="BD1" s="126" t="inlineStr">
        <is>
          <t>Pass2_Temperature_C</t>
        </is>
      </c>
      <c r="BE1" s="126" t="inlineStr">
        <is>
          <t>Pass2_Flow_Factor</t>
        </is>
      </c>
      <c r="BF1" s="126" t="inlineStr">
        <is>
          <t>Pass2_Permeate_Back_Pressure_bar</t>
        </is>
      </c>
      <c r="BG1" s="126" t="inlineStr">
        <is>
          <t>Pass2_Stage_Count</t>
        </is>
      </c>
      <c r="BH1" s="126" t="inlineStr">
        <is>
          <t>P2S1_PV</t>
        </is>
      </c>
      <c r="BI1" s="126" t="inlineStr">
        <is>
          <t>P2S1_Elements_per_PV</t>
        </is>
      </c>
      <c r="BJ1" s="126" t="inlineStr">
        <is>
          <t>P2S1_Membrane</t>
        </is>
      </c>
      <c r="BK1" s="126" t="inlineStr">
        <is>
          <t>P2S1_Stage_Back_Pressure_bar</t>
        </is>
      </c>
      <c r="BL1" s="126" t="inlineStr">
        <is>
          <t>P2S1_Boost_Pressure_bar</t>
        </is>
      </c>
      <c r="BM1" s="126" t="inlineStr">
        <is>
          <t>P2S1_Flow_Factor</t>
        </is>
      </c>
      <c r="BN1" s="126" t="inlineStr">
        <is>
          <t>P2S2_PV</t>
        </is>
      </c>
      <c r="BO1" s="126" t="inlineStr">
        <is>
          <t>P2S2_Elements_per_PV</t>
        </is>
      </c>
      <c r="BP1" s="126" t="inlineStr">
        <is>
          <t>P2S2_Membrane</t>
        </is>
      </c>
      <c r="BQ1" s="126" t="inlineStr">
        <is>
          <t>P2S2_Stage_Back_Pressure_bar</t>
        </is>
      </c>
      <c r="BR1" s="126" t="inlineStr">
        <is>
          <t>P2S2_Boost_Pressure_bar</t>
        </is>
      </c>
      <c r="BS1" s="126" t="inlineStr">
        <is>
          <t>P2S2_Flow_Factor</t>
        </is>
      </c>
      <c r="BT1" s="126" t="inlineStr">
        <is>
          <t>P2S3_PV</t>
        </is>
      </c>
      <c r="BU1" s="126" t="inlineStr">
        <is>
          <t>P2S3_Elements_per_PV</t>
        </is>
      </c>
      <c r="BV1" s="126" t="inlineStr">
        <is>
          <t>P2S3_Membrane</t>
        </is>
      </c>
      <c r="BW1" s="126" t="inlineStr">
        <is>
          <t>P2S3_Stage_Back_Pressure_bar</t>
        </is>
      </c>
      <c r="BX1" s="126" t="inlineStr">
        <is>
          <t>P2S3_Boost_Pressure_bar</t>
        </is>
      </c>
      <c r="BY1" s="126" t="inlineStr">
        <is>
          <t>P2S3_Flow_Factor</t>
        </is>
      </c>
      <c r="BZ1" s="126" t="inlineStr">
        <is>
          <t>P2S4_PV</t>
        </is>
      </c>
      <c r="CA1" s="126" t="inlineStr">
        <is>
          <t>P2S4_Elements_per_PV</t>
        </is>
      </c>
      <c r="CB1" s="126" t="inlineStr">
        <is>
          <t>P2S4_Membrane</t>
        </is>
      </c>
      <c r="CC1" s="126" t="inlineStr">
        <is>
          <t>P2S4_Stage_Back_Pressure_bar</t>
        </is>
      </c>
      <c r="CD1" s="126" t="inlineStr">
        <is>
          <t>P2S4_Boost_Pressure_bar</t>
        </is>
      </c>
      <c r="CE1" s="126" t="inlineStr">
        <is>
          <t>P2S4_Flow_Factor</t>
        </is>
      </c>
      <c r="CF1" s="126" t="inlineStr">
        <is>
          <t>P2S5_PV</t>
        </is>
      </c>
      <c r="CG1" s="126" t="inlineStr">
        <is>
          <t>P2S5_Elements_per_PV</t>
        </is>
      </c>
      <c r="CH1" s="126" t="inlineStr">
        <is>
          <t>P2S5_Membrane</t>
        </is>
      </c>
      <c r="CI1" s="126" t="inlineStr">
        <is>
          <t>P2S5_Stage_Back_Pressure_bar</t>
        </is>
      </c>
      <c r="CJ1" s="126" t="inlineStr">
        <is>
          <t>P2S5_Boost_Pressure_bar</t>
        </is>
      </c>
      <c r="CK1" s="126" t="inlineStr">
        <is>
          <t>P2S5_Flow_Factor</t>
        </is>
      </c>
      <c r="CL1" s="126" t="inlineStr">
        <is>
          <t>Acid_Enabled</t>
        </is>
      </c>
      <c r="CM1" s="126" t="inlineStr">
        <is>
          <t>Acid_Type</t>
        </is>
      </c>
      <c r="CN1" s="126" t="inlineStr">
        <is>
          <t>Acid_Target_pH</t>
        </is>
      </c>
      <c r="CO1" s="126" t="inlineStr">
        <is>
          <t>Degas_Enabled</t>
        </is>
      </c>
      <c r="CP1" s="126" t="inlineStr">
        <is>
          <t>Degas_Mode</t>
        </is>
      </c>
      <c r="CQ1" s="126" t="inlineStr">
        <is>
          <t>Degas_Value</t>
        </is>
      </c>
      <c r="CR1" s="126" t="inlineStr">
        <is>
          <t>Base_Enabled</t>
        </is>
      </c>
      <c r="CS1" s="126" t="inlineStr">
        <is>
          <t>Base_Type</t>
        </is>
      </c>
      <c r="CT1" s="126" t="inlineStr">
        <is>
          <t>Base_Target_pH</t>
        </is>
      </c>
      <c r="CU1" s="126" t="inlineStr">
        <is>
          <t>Antiscalant_Enabled</t>
        </is>
      </c>
      <c r="CV1" s="126" t="inlineStr">
        <is>
          <t>Antiscalant_Type</t>
        </is>
      </c>
      <c r="CW1" s="126" t="inlineStr">
        <is>
          <t>Antiscalant_Dose_mgL</t>
        </is>
      </c>
      <c r="CX1" s="126" t="inlineStr">
        <is>
          <t>Dechlorinator_Enabled</t>
        </is>
      </c>
      <c r="CY1" s="126" t="inlineStr">
        <is>
          <t>Dechlorinator_Type</t>
        </is>
      </c>
      <c r="CZ1" s="126" t="inlineStr">
        <is>
          <t>Dechlorinator_Dose_mgL</t>
        </is>
      </c>
      <c r="DA1" s="126" t="inlineStr">
        <is>
          <t>Chemical_Temperature_Mode</t>
        </is>
      </c>
      <c r="DB1" s="126" t="inlineStr">
        <is>
          <t>Chemical_Temperature_C</t>
        </is>
      </c>
      <c r="DC1" s="126" t="inlineStr">
        <is>
          <t>Chemical_Recovery_Mode</t>
        </is>
      </c>
      <c r="DD1" s="126" t="inlineStr">
        <is>
          <t>Chemical_Recovery_pct</t>
        </is>
      </c>
      <c r="DE1" s="126" t="inlineStr">
        <is>
          <t>Compaction_Enabled</t>
        </is>
      </c>
      <c r="DF1" s="126" t="inlineStr">
        <is>
          <t>Compaction_Mode</t>
        </is>
      </c>
      <c r="DG1" s="126" t="inlineStr">
        <is>
          <t>Compaction_Value</t>
        </is>
      </c>
      <c r="DH1" s="126" t="inlineStr">
        <is>
          <t>RO_TOC_Rejection_Enabled</t>
        </is>
      </c>
      <c r="DI1" s="126" t="inlineStr">
        <is>
          <t>RO_TOC_Rejection_pct</t>
        </is>
      </c>
    </row>
    <row r="2" s="146">
      <c r="A2" s="180" t="n">
        <v>1</v>
      </c>
      <c r="B2" s="180" t="inlineStr">
        <is>
          <t>NF_CALIBRATION_V128</t>
        </is>
      </c>
      <c r="C2" s="180" t="inlineStr">
        <is>
          <t>Y</t>
        </is>
      </c>
      <c r="D2" s="181" t="inlineStr">
        <is>
          <t>V128_NF_001</t>
        </is>
      </c>
      <c r="E2" s="180" t="inlineStr">
        <is>
          <t>V128_NF_001_NF270_LowHardness_R65.pdf</t>
        </is>
      </c>
      <c r="F2" s="180" t="inlineStr">
        <is>
          <t>Y</t>
        </is>
      </c>
      <c r="G2" s="180" t="inlineStr">
        <is>
          <t>nf/shared-ro-ui</t>
        </is>
      </c>
      <c r="H2" s="180" t="inlineStr">
        <is>
          <t>experimental</t>
        </is>
      </c>
      <c r="I2" s="180" t="inlineStr">
        <is>
          <t>NF pressure and product-TDS calibration across feed hardness and recovery</t>
        </is>
      </c>
      <c r="J2" s="180" t="inlineStr">
        <is>
          <t>Not Started</t>
        </is>
      </c>
      <c r="K2" s="180" t="inlineStr">
        <is>
          <t>Fresh project per case. Run with --allow-experimental-ro. Keep topology fixed.</t>
        </is>
      </c>
      <c r="L2" s="180" t="inlineStr">
        <is>
          <t>Well Water - Low Hardness</t>
        </is>
      </c>
      <c r="M2" s="180" t="n">
        <v>100</v>
      </c>
      <c r="N2" s="180" t="n">
        <v>10</v>
      </c>
      <c r="O2" s="180" t="n">
        <v>25</v>
      </c>
      <c r="P2" s="180" t="n">
        <v>35</v>
      </c>
      <c r="Q2" s="180" t="n">
        <v>1</v>
      </c>
      <c r="R2" s="180" t="n">
        <v>65</v>
      </c>
      <c r="S2" s="180" t="inlineStr">
        <is>
          <t>Design</t>
        </is>
      </c>
      <c r="T2" s="180" t="n">
        <v>25</v>
      </c>
      <c r="U2" s="180" t="n">
        <v>0.85</v>
      </c>
      <c r="V2" s="180" t="n">
        <v>0</v>
      </c>
      <c r="W2" s="180" t="n">
        <v>1</v>
      </c>
      <c r="X2" s="180" t="n">
        <v>10</v>
      </c>
      <c r="Y2" s="180" t="n">
        <v>6</v>
      </c>
      <c r="Z2" s="180" t="inlineStr">
        <is>
          <t>NF270-400/34</t>
        </is>
      </c>
      <c r="AA2" s="180" t="n">
        <v>0</v>
      </c>
      <c r="AB2" s="180" t="n">
        <v>0</v>
      </c>
      <c r="AC2" s="180" t="n">
        <v>0.85</v>
      </c>
      <c r="AD2" s="180" t="n"/>
      <c r="AE2" s="180" t="n"/>
      <c r="AF2" s="180" t="n"/>
      <c r="AG2" s="180" t="n"/>
      <c r="AH2" s="180" t="n"/>
      <c r="AI2" s="180" t="n"/>
      <c r="AJ2" s="180" t="n"/>
      <c r="AK2" s="180" t="n"/>
      <c r="AL2" s="180" t="n"/>
      <c r="AM2" s="180" t="n"/>
      <c r="AN2" s="180" t="n"/>
      <c r="AO2" s="180" t="n"/>
      <c r="AP2" s="180" t="n"/>
      <c r="AQ2" s="180" t="n"/>
      <c r="AR2" s="180" t="n"/>
      <c r="AS2" s="180" t="n"/>
      <c r="AT2" s="180" t="n"/>
      <c r="AU2" s="180" t="n"/>
      <c r="AV2" s="180" t="n"/>
      <c r="AW2" s="180" t="n"/>
      <c r="AX2" s="180" t="n"/>
      <c r="AY2" s="180" t="n"/>
      <c r="AZ2" s="180" t="n"/>
      <c r="BA2" s="180" t="n"/>
      <c r="BB2" s="180" t="n"/>
      <c r="BC2" s="180" t="n"/>
      <c r="BD2" s="180" t="n"/>
      <c r="BE2" s="180" t="n"/>
      <c r="BF2" s="180" t="n"/>
      <c r="BG2" s="180" t="n"/>
      <c r="BH2" s="180" t="n"/>
      <c r="BI2" s="180" t="n"/>
      <c r="BJ2" s="180" t="n"/>
      <c r="BK2" s="180" t="n"/>
      <c r="BL2" s="180" t="n"/>
      <c r="BM2" s="180" t="n"/>
      <c r="BN2" s="180" t="n"/>
      <c r="BO2" s="180" t="n"/>
      <c r="BP2" s="180" t="n"/>
      <c r="BQ2" s="180" t="n"/>
      <c r="BR2" s="180" t="n"/>
      <c r="BS2" s="180" t="n"/>
      <c r="BT2" s="180" t="n"/>
      <c r="BU2" s="180" t="n"/>
      <c r="BV2" s="180" t="n"/>
      <c r="BW2" s="180" t="n"/>
      <c r="BX2" s="180" t="n"/>
      <c r="BY2" s="180" t="n"/>
      <c r="BZ2" s="180" t="n"/>
      <c r="CA2" s="180" t="n"/>
      <c r="CB2" s="180" t="n"/>
      <c r="CC2" s="180" t="n"/>
      <c r="CD2" s="180" t="n"/>
      <c r="CE2" s="180" t="n"/>
      <c r="CF2" s="180" t="n"/>
      <c r="CG2" s="180" t="n"/>
      <c r="CH2" s="180" t="n"/>
      <c r="CI2" s="180" t="n"/>
      <c r="CJ2" s="180" t="n"/>
      <c r="CK2" s="180" t="n"/>
      <c r="CL2" s="180" t="n"/>
      <c r="CM2" s="180" t="n"/>
      <c r="CN2" s="180" t="n"/>
      <c r="CO2" s="180" t="n"/>
      <c r="CP2" s="180" t="n"/>
      <c r="CQ2" s="180" t="n"/>
      <c r="CR2" s="180" t="n"/>
      <c r="CS2" s="180" t="n"/>
      <c r="CT2" s="180" t="n"/>
      <c r="CU2" s="180" t="n"/>
      <c r="CV2" s="180" t="n"/>
      <c r="CW2" s="180" t="n"/>
      <c r="CX2" s="180" t="n"/>
      <c r="CY2" s="180" t="n"/>
      <c r="CZ2" s="180" t="n"/>
      <c r="DA2" s="180" t="n"/>
      <c r="DB2" s="180" t="n"/>
      <c r="DC2" s="180" t="n"/>
      <c r="DD2" s="180" t="n"/>
      <c r="DE2" s="180" t="n"/>
      <c r="DF2" s="180" t="n"/>
      <c r="DG2" s="180" t="n"/>
      <c r="DH2" s="180" t="n"/>
      <c r="DI2" s="180" t="n"/>
    </row>
    <row r="3">
      <c r="A3" s="180" t="n">
        <v>2</v>
      </c>
      <c r="B3" s="180" t="inlineStr">
        <is>
          <t>NF_CALIBRATION_V128</t>
        </is>
      </c>
      <c r="C3" s="180" t="inlineStr">
        <is>
          <t>Y</t>
        </is>
      </c>
      <c r="D3" s="181" t="inlineStr">
        <is>
          <t>V128_NF_002</t>
        </is>
      </c>
      <c r="E3" s="180" t="inlineStr">
        <is>
          <t>V128_NF_002_NF270_LowHardness_R85.pdf</t>
        </is>
      </c>
      <c r="F3" s="180" t="inlineStr">
        <is>
          <t>Y</t>
        </is>
      </c>
      <c r="G3" s="180" t="inlineStr">
        <is>
          <t>nf/shared-ro-ui</t>
        </is>
      </c>
      <c r="H3" s="180" t="inlineStr">
        <is>
          <t>experimental</t>
        </is>
      </c>
      <c r="I3" s="180" t="inlineStr">
        <is>
          <t>NF pressure and product-TDS calibration across feed hardness and recovery</t>
        </is>
      </c>
      <c r="J3" s="180" t="inlineStr">
        <is>
          <t>Not Started</t>
        </is>
      </c>
      <c r="K3" s="180" t="inlineStr">
        <is>
          <t>Fresh project per case. Run with --allow-experimental-ro. Keep topology fixed.</t>
        </is>
      </c>
      <c r="L3" s="180" t="inlineStr">
        <is>
          <t>Well Water - Low Hardness</t>
        </is>
      </c>
      <c r="M3" s="180" t="n">
        <v>100</v>
      </c>
      <c r="N3" s="180" t="n">
        <v>10</v>
      </c>
      <c r="O3" s="180" t="n">
        <v>25</v>
      </c>
      <c r="P3" s="180" t="n">
        <v>35</v>
      </c>
      <c r="Q3" s="180" t="n">
        <v>1</v>
      </c>
      <c r="R3" s="180" t="n">
        <v>85</v>
      </c>
      <c r="S3" s="180" t="inlineStr">
        <is>
          <t>Design</t>
        </is>
      </c>
      <c r="T3" s="180" t="n">
        <v>25</v>
      </c>
      <c r="U3" s="180" t="n">
        <v>0.85</v>
      </c>
      <c r="V3" s="180" t="n">
        <v>0</v>
      </c>
      <c r="W3" s="180" t="n">
        <v>1</v>
      </c>
      <c r="X3" s="180" t="n">
        <v>10</v>
      </c>
      <c r="Y3" s="180" t="n">
        <v>6</v>
      </c>
      <c r="Z3" s="180" t="inlineStr">
        <is>
          <t>NF270-400/34</t>
        </is>
      </c>
      <c r="AA3" s="180" t="n">
        <v>0</v>
      </c>
      <c r="AB3" s="180" t="n">
        <v>0</v>
      </c>
      <c r="AC3" s="180" t="n">
        <v>0.85</v>
      </c>
      <c r="AD3" s="180" t="n"/>
      <c r="AE3" s="180" t="n"/>
      <c r="AF3" s="180" t="n"/>
      <c r="AG3" s="180" t="n"/>
      <c r="AH3" s="180" t="n"/>
      <c r="AI3" s="180" t="n"/>
      <c r="AJ3" s="180" t="n"/>
      <c r="AK3" s="180" t="n"/>
      <c r="AL3" s="180" t="n"/>
      <c r="AM3" s="180" t="n"/>
      <c r="AN3" s="180" t="n"/>
      <c r="AO3" s="180" t="n"/>
      <c r="AP3" s="180" t="n"/>
      <c r="AQ3" s="180" t="n"/>
      <c r="AR3" s="180" t="n"/>
      <c r="AS3" s="180" t="n"/>
      <c r="AT3" s="180" t="n"/>
      <c r="AU3" s="180" t="n"/>
      <c r="AV3" s="180" t="n"/>
      <c r="AW3" s="180" t="n"/>
      <c r="AX3" s="180" t="n"/>
      <c r="AY3" s="180" t="n"/>
      <c r="AZ3" s="180" t="n"/>
      <c r="BA3" s="180" t="n"/>
      <c r="BB3" s="180" t="n"/>
      <c r="BC3" s="180" t="n"/>
      <c r="BD3" s="180" t="n"/>
      <c r="BE3" s="180" t="n"/>
      <c r="BF3" s="180" t="n"/>
      <c r="BG3" s="180" t="n"/>
      <c r="BH3" s="180" t="n"/>
      <c r="BI3" s="180" t="n"/>
      <c r="BJ3" s="180" t="n"/>
      <c r="BK3" s="180" t="n"/>
      <c r="BL3" s="180" t="n"/>
      <c r="BM3" s="180" t="n"/>
      <c r="BN3" s="180" t="n"/>
      <c r="BO3" s="180" t="n"/>
      <c r="BP3" s="180" t="n"/>
      <c r="BQ3" s="180" t="n"/>
      <c r="BR3" s="180" t="n"/>
      <c r="BS3" s="180" t="n"/>
      <c r="BT3" s="180" t="n"/>
      <c r="BU3" s="180" t="n"/>
      <c r="BV3" s="180" t="n"/>
      <c r="BW3" s="180" t="n"/>
      <c r="BX3" s="180" t="n"/>
      <c r="BY3" s="180" t="n"/>
      <c r="BZ3" s="180" t="n"/>
      <c r="CA3" s="180" t="n"/>
      <c r="CB3" s="180" t="n"/>
      <c r="CC3" s="180" t="n"/>
      <c r="CD3" s="180" t="n"/>
      <c r="CE3" s="180" t="n"/>
      <c r="CF3" s="180" t="n"/>
      <c r="CG3" s="180" t="n"/>
      <c r="CH3" s="180" t="n"/>
      <c r="CI3" s="180" t="n"/>
      <c r="CJ3" s="180" t="n"/>
      <c r="CK3" s="180" t="n"/>
      <c r="CL3" s="180" t="n"/>
      <c r="CM3" s="180" t="n"/>
      <c r="CN3" s="180" t="n"/>
      <c r="CO3" s="180" t="n"/>
      <c r="CP3" s="180" t="n"/>
      <c r="CQ3" s="180" t="n"/>
      <c r="CR3" s="180" t="n"/>
      <c r="CS3" s="180" t="n"/>
      <c r="CT3" s="180" t="n"/>
      <c r="CU3" s="180" t="n"/>
      <c r="CV3" s="180" t="n"/>
      <c r="CW3" s="180" t="n"/>
      <c r="CX3" s="180" t="n"/>
      <c r="CY3" s="180" t="n"/>
      <c r="CZ3" s="180" t="n"/>
      <c r="DA3" s="180" t="n"/>
      <c r="DB3" s="180" t="n"/>
      <c r="DC3" s="180" t="n"/>
      <c r="DD3" s="180" t="n"/>
      <c r="DE3" s="180" t="n"/>
      <c r="DF3" s="180" t="n"/>
      <c r="DG3" s="180" t="n"/>
      <c r="DH3" s="180" t="n"/>
      <c r="DI3" s="180" t="n"/>
    </row>
    <row r="4">
      <c r="A4" s="180" t="n">
        <v>3</v>
      </c>
      <c r="B4" s="180" t="inlineStr">
        <is>
          <t>NF_CALIBRATION_V128</t>
        </is>
      </c>
      <c r="C4" s="180" t="inlineStr">
        <is>
          <t>Y</t>
        </is>
      </c>
      <c r="D4" s="181" t="inlineStr">
        <is>
          <t>V128_NF_003</t>
        </is>
      </c>
      <c r="E4" s="180" t="inlineStr">
        <is>
          <t>V128_NF_003_NF270_MedHardness_R65.pdf</t>
        </is>
      </c>
      <c r="F4" s="180" t="inlineStr">
        <is>
          <t>Y</t>
        </is>
      </c>
      <c r="G4" s="180" t="inlineStr">
        <is>
          <t>nf/shared-ro-ui</t>
        </is>
      </c>
      <c r="H4" s="180" t="inlineStr">
        <is>
          <t>experimental</t>
        </is>
      </c>
      <c r="I4" s="180" t="inlineStr">
        <is>
          <t>NF pressure and product-TDS calibration across feed hardness and recovery</t>
        </is>
      </c>
      <c r="J4" s="180" t="inlineStr">
        <is>
          <t>Not Started</t>
        </is>
      </c>
      <c r="K4" s="180" t="inlineStr">
        <is>
          <t>Fresh project per case. Run with --allow-experimental-ro. Keep topology fixed.</t>
        </is>
      </c>
      <c r="L4" s="180" t="inlineStr">
        <is>
          <t>Well Water - Med Hardness</t>
        </is>
      </c>
      <c r="M4" s="180" t="n">
        <v>100</v>
      </c>
      <c r="N4" s="180" t="n">
        <v>10</v>
      </c>
      <c r="O4" s="180" t="n">
        <v>25</v>
      </c>
      <c r="P4" s="180" t="n">
        <v>35</v>
      </c>
      <c r="Q4" s="180" t="n">
        <v>1</v>
      </c>
      <c r="R4" s="180" t="n">
        <v>65</v>
      </c>
      <c r="S4" s="180" t="inlineStr">
        <is>
          <t>Design</t>
        </is>
      </c>
      <c r="T4" s="180" t="n">
        <v>25</v>
      </c>
      <c r="U4" s="180" t="n">
        <v>0.85</v>
      </c>
      <c r="V4" s="180" t="n">
        <v>0</v>
      </c>
      <c r="W4" s="180" t="n">
        <v>1</v>
      </c>
      <c r="X4" s="180" t="n">
        <v>10</v>
      </c>
      <c r="Y4" s="180" t="n">
        <v>6</v>
      </c>
      <c r="Z4" s="180" t="inlineStr">
        <is>
          <t>NF270-400/34</t>
        </is>
      </c>
      <c r="AA4" s="180" t="n">
        <v>0</v>
      </c>
      <c r="AB4" s="180" t="n">
        <v>0</v>
      </c>
      <c r="AC4" s="180" t="n">
        <v>0.85</v>
      </c>
      <c r="AD4" s="180" t="n"/>
      <c r="AE4" s="180" t="n"/>
      <c r="AF4" s="180" t="n"/>
      <c r="AG4" s="180" t="n"/>
      <c r="AH4" s="180" t="n"/>
      <c r="AI4" s="180" t="n"/>
      <c r="AJ4" s="180" t="n"/>
      <c r="AK4" s="180" t="n"/>
      <c r="AL4" s="180" t="n"/>
      <c r="AM4" s="180" t="n"/>
      <c r="AN4" s="180" t="n"/>
      <c r="AO4" s="180" t="n"/>
      <c r="AP4" s="180" t="n"/>
      <c r="AQ4" s="180" t="n"/>
      <c r="AR4" s="180" t="n"/>
      <c r="AS4" s="180" t="n"/>
      <c r="AT4" s="180" t="n"/>
      <c r="AU4" s="180" t="n"/>
      <c r="AV4" s="180" t="n"/>
      <c r="AW4" s="180" t="n"/>
      <c r="AX4" s="180" t="n"/>
      <c r="AY4" s="180" t="n"/>
      <c r="AZ4" s="180" t="n"/>
      <c r="BA4" s="180" t="n"/>
      <c r="BB4" s="180" t="n"/>
      <c r="BC4" s="180" t="n"/>
      <c r="BD4" s="180" t="n"/>
      <c r="BE4" s="180" t="n"/>
      <c r="BF4" s="180" t="n"/>
      <c r="BG4" s="180" t="n"/>
      <c r="BH4" s="180" t="n"/>
      <c r="BI4" s="180" t="n"/>
      <c r="BJ4" s="180" t="n"/>
      <c r="BK4" s="180" t="n"/>
      <c r="BL4" s="180" t="n"/>
      <c r="BM4" s="180" t="n"/>
      <c r="BN4" s="180" t="n"/>
      <c r="BO4" s="180" t="n"/>
      <c r="BP4" s="180" t="n"/>
      <c r="BQ4" s="180" t="n"/>
      <c r="BR4" s="180" t="n"/>
      <c r="BS4" s="180" t="n"/>
      <c r="BT4" s="180" t="n"/>
      <c r="BU4" s="180" t="n"/>
      <c r="BV4" s="180" t="n"/>
      <c r="BW4" s="180" t="n"/>
      <c r="BX4" s="180" t="n"/>
      <c r="BY4" s="180" t="n"/>
      <c r="BZ4" s="180" t="n"/>
      <c r="CA4" s="180" t="n"/>
      <c r="CB4" s="180" t="n"/>
      <c r="CC4" s="180" t="n"/>
      <c r="CD4" s="180" t="n"/>
      <c r="CE4" s="180" t="n"/>
      <c r="CF4" s="180" t="n"/>
      <c r="CG4" s="180" t="n"/>
      <c r="CH4" s="180" t="n"/>
      <c r="CI4" s="180" t="n"/>
      <c r="CJ4" s="180" t="n"/>
      <c r="CK4" s="180" t="n"/>
      <c r="CL4" s="180" t="n"/>
      <c r="CM4" s="180" t="n"/>
      <c r="CN4" s="180" t="n"/>
      <c r="CO4" s="180" t="n"/>
      <c r="CP4" s="180" t="n"/>
      <c r="CQ4" s="180" t="n"/>
      <c r="CR4" s="180" t="n"/>
      <c r="CS4" s="180" t="n"/>
      <c r="CT4" s="180" t="n"/>
      <c r="CU4" s="180" t="n"/>
      <c r="CV4" s="180" t="n"/>
      <c r="CW4" s="180" t="n"/>
      <c r="CX4" s="180" t="n"/>
      <c r="CY4" s="180" t="n"/>
      <c r="CZ4" s="180" t="n"/>
      <c r="DA4" s="180" t="n"/>
      <c r="DB4" s="180" t="n"/>
      <c r="DC4" s="180" t="n"/>
      <c r="DD4" s="180" t="n"/>
      <c r="DE4" s="180" t="n"/>
      <c r="DF4" s="180" t="n"/>
      <c r="DG4" s="180" t="n"/>
      <c r="DH4" s="180" t="n"/>
      <c r="DI4" s="180" t="n"/>
    </row>
    <row r="5">
      <c r="A5" s="180" t="n">
        <v>4</v>
      </c>
      <c r="B5" s="180" t="inlineStr">
        <is>
          <t>NF_CALIBRATION_V128</t>
        </is>
      </c>
      <c r="C5" s="180" t="inlineStr">
        <is>
          <t>Y</t>
        </is>
      </c>
      <c r="D5" s="181" t="inlineStr">
        <is>
          <t>V128_NF_004</t>
        </is>
      </c>
      <c r="E5" s="180" t="inlineStr">
        <is>
          <t>V128_NF_004_NF270_MedHardness_R85.pdf</t>
        </is>
      </c>
      <c r="F5" s="180" t="inlineStr">
        <is>
          <t>Y</t>
        </is>
      </c>
      <c r="G5" s="180" t="inlineStr">
        <is>
          <t>nf/shared-ro-ui</t>
        </is>
      </c>
      <c r="H5" s="180" t="inlineStr">
        <is>
          <t>experimental</t>
        </is>
      </c>
      <c r="I5" s="180" t="inlineStr">
        <is>
          <t>NF pressure and product-TDS calibration across feed hardness and recovery</t>
        </is>
      </c>
      <c r="J5" s="180" t="inlineStr">
        <is>
          <t>Not Started</t>
        </is>
      </c>
      <c r="K5" s="180" t="inlineStr">
        <is>
          <t>Fresh project per case. Run with --allow-experimental-ro. Keep topology fixed.</t>
        </is>
      </c>
      <c r="L5" s="180" t="inlineStr">
        <is>
          <t>Well Water - Med Hardness</t>
        </is>
      </c>
      <c r="M5" s="180" t="n">
        <v>100</v>
      </c>
      <c r="N5" s="180" t="n">
        <v>10</v>
      </c>
      <c r="O5" s="180" t="n">
        <v>25</v>
      </c>
      <c r="P5" s="180" t="n">
        <v>35</v>
      </c>
      <c r="Q5" s="180" t="n">
        <v>1</v>
      </c>
      <c r="R5" s="180" t="n">
        <v>85</v>
      </c>
      <c r="S5" s="180" t="inlineStr">
        <is>
          <t>Design</t>
        </is>
      </c>
      <c r="T5" s="180" t="n">
        <v>25</v>
      </c>
      <c r="U5" s="180" t="n">
        <v>0.85</v>
      </c>
      <c r="V5" s="180" t="n">
        <v>0</v>
      </c>
      <c r="W5" s="180" t="n">
        <v>1</v>
      </c>
      <c r="X5" s="180" t="n">
        <v>10</v>
      </c>
      <c r="Y5" s="180" t="n">
        <v>6</v>
      </c>
      <c r="Z5" s="180" t="inlineStr">
        <is>
          <t>NF270-400/34</t>
        </is>
      </c>
      <c r="AA5" s="180" t="n">
        <v>0</v>
      </c>
      <c r="AB5" s="180" t="n">
        <v>0</v>
      </c>
      <c r="AC5" s="180" t="n">
        <v>0.85</v>
      </c>
      <c r="AD5" s="180" t="n"/>
      <c r="AE5" s="180" t="n"/>
      <c r="AF5" s="180" t="n"/>
      <c r="AG5" s="180" t="n"/>
      <c r="AH5" s="180" t="n"/>
      <c r="AI5" s="180" t="n"/>
      <c r="AJ5" s="180" t="n"/>
      <c r="AK5" s="180" t="n"/>
      <c r="AL5" s="180" t="n"/>
      <c r="AM5" s="180" t="n"/>
      <c r="AN5" s="180" t="n"/>
      <c r="AO5" s="180" t="n"/>
      <c r="AP5" s="180" t="n"/>
      <c r="AQ5" s="180" t="n"/>
      <c r="AR5" s="180" t="n"/>
      <c r="AS5" s="180" t="n"/>
      <c r="AT5" s="180" t="n"/>
      <c r="AU5" s="180" t="n"/>
      <c r="AV5" s="180" t="n"/>
      <c r="AW5" s="180" t="n"/>
      <c r="AX5" s="180" t="n"/>
      <c r="AY5" s="180" t="n"/>
      <c r="AZ5" s="180" t="n"/>
      <c r="BA5" s="180" t="n"/>
      <c r="BB5" s="180" t="n"/>
      <c r="BC5" s="180" t="n"/>
      <c r="BD5" s="180" t="n"/>
      <c r="BE5" s="180" t="n"/>
      <c r="BF5" s="180" t="n"/>
      <c r="BG5" s="180" t="n"/>
      <c r="BH5" s="180" t="n"/>
      <c r="BI5" s="180" t="n"/>
      <c r="BJ5" s="180" t="n"/>
      <c r="BK5" s="180" t="n"/>
      <c r="BL5" s="180" t="n"/>
      <c r="BM5" s="180" t="n"/>
      <c r="BN5" s="180" t="n"/>
      <c r="BO5" s="180" t="n"/>
      <c r="BP5" s="180" t="n"/>
      <c r="BQ5" s="180" t="n"/>
      <c r="BR5" s="180" t="n"/>
      <c r="BS5" s="180" t="n"/>
      <c r="BT5" s="180" t="n"/>
      <c r="BU5" s="180" t="n"/>
      <c r="BV5" s="180" t="n"/>
      <c r="BW5" s="180" t="n"/>
      <c r="BX5" s="180" t="n"/>
      <c r="BY5" s="180" t="n"/>
      <c r="BZ5" s="180" t="n"/>
      <c r="CA5" s="180" t="n"/>
      <c r="CB5" s="180" t="n"/>
      <c r="CC5" s="180" t="n"/>
      <c r="CD5" s="180" t="n"/>
      <c r="CE5" s="180" t="n"/>
      <c r="CF5" s="180" t="n"/>
      <c r="CG5" s="180" t="n"/>
      <c r="CH5" s="180" t="n"/>
      <c r="CI5" s="180" t="n"/>
      <c r="CJ5" s="180" t="n"/>
      <c r="CK5" s="180" t="n"/>
      <c r="CL5" s="180" t="n"/>
      <c r="CM5" s="180" t="n"/>
      <c r="CN5" s="180" t="n"/>
      <c r="CO5" s="180" t="n"/>
      <c r="CP5" s="180" t="n"/>
      <c r="CQ5" s="180" t="n"/>
      <c r="CR5" s="180" t="n"/>
      <c r="CS5" s="180" t="n"/>
      <c r="CT5" s="180" t="n"/>
      <c r="CU5" s="180" t="n"/>
      <c r="CV5" s="180" t="n"/>
      <c r="CW5" s="180" t="n"/>
      <c r="CX5" s="180" t="n"/>
      <c r="CY5" s="180" t="n"/>
      <c r="CZ5" s="180" t="n"/>
      <c r="DA5" s="180" t="n"/>
      <c r="DB5" s="180" t="n"/>
      <c r="DC5" s="180" t="n"/>
      <c r="DD5" s="180" t="n"/>
      <c r="DE5" s="180" t="n"/>
      <c r="DF5" s="180" t="n"/>
      <c r="DG5" s="180" t="n"/>
      <c r="DH5" s="180" t="n"/>
      <c r="DI5" s="180" t="n"/>
    </row>
    <row r="6">
      <c r="A6" s="180" t="n">
        <v>5</v>
      </c>
      <c r="B6" s="180" t="inlineStr">
        <is>
          <t>NF_CALIBRATION_V128</t>
        </is>
      </c>
      <c r="C6" s="180" t="inlineStr">
        <is>
          <t>Y</t>
        </is>
      </c>
      <c r="D6" s="181" t="inlineStr">
        <is>
          <t>V128_NF_005</t>
        </is>
      </c>
      <c r="E6" s="180" t="inlineStr">
        <is>
          <t>V128_NF_005_NF270_HighHardness_R65.pdf</t>
        </is>
      </c>
      <c r="F6" s="180" t="inlineStr">
        <is>
          <t>Y</t>
        </is>
      </c>
      <c r="G6" s="180" t="inlineStr">
        <is>
          <t>nf/shared-ro-ui</t>
        </is>
      </c>
      <c r="H6" s="180" t="inlineStr">
        <is>
          <t>experimental</t>
        </is>
      </c>
      <c r="I6" s="180" t="inlineStr">
        <is>
          <t>NF pressure and product-TDS calibration across feed hardness and recovery</t>
        </is>
      </c>
      <c r="J6" s="180" t="inlineStr">
        <is>
          <t>Not Started</t>
        </is>
      </c>
      <c r="K6" s="180" t="inlineStr">
        <is>
          <t>Fresh project per case. Run with --allow-experimental-ro. Keep topology fixed.</t>
        </is>
      </c>
      <c r="L6" s="180" t="inlineStr">
        <is>
          <t>Well Water - High Hardness</t>
        </is>
      </c>
      <c r="M6" s="180" t="n">
        <v>100</v>
      </c>
      <c r="N6" s="180" t="n">
        <v>10</v>
      </c>
      <c r="O6" s="180" t="n">
        <v>25</v>
      </c>
      <c r="P6" s="180" t="n">
        <v>35</v>
      </c>
      <c r="Q6" s="180" t="n">
        <v>1</v>
      </c>
      <c r="R6" s="180" t="n">
        <v>65</v>
      </c>
      <c r="S6" s="180" t="inlineStr">
        <is>
          <t>Design</t>
        </is>
      </c>
      <c r="T6" s="180" t="n">
        <v>25</v>
      </c>
      <c r="U6" s="180" t="n">
        <v>0.85</v>
      </c>
      <c r="V6" s="180" t="n">
        <v>0</v>
      </c>
      <c r="W6" s="180" t="n">
        <v>1</v>
      </c>
      <c r="X6" s="180" t="n">
        <v>10</v>
      </c>
      <c r="Y6" s="180" t="n">
        <v>6</v>
      </c>
      <c r="Z6" s="180" t="inlineStr">
        <is>
          <t>NF270-400/34</t>
        </is>
      </c>
      <c r="AA6" s="180" t="n">
        <v>0</v>
      </c>
      <c r="AB6" s="180" t="n">
        <v>0</v>
      </c>
      <c r="AC6" s="180" t="n">
        <v>0.85</v>
      </c>
      <c r="AD6" s="180" t="n"/>
      <c r="AE6" s="180" t="n"/>
      <c r="AF6" s="180" t="n"/>
      <c r="AG6" s="180" t="n"/>
      <c r="AH6" s="180" t="n"/>
      <c r="AI6" s="180" t="n"/>
      <c r="AJ6" s="180" t="n"/>
      <c r="AK6" s="180" t="n"/>
      <c r="AL6" s="180" t="n"/>
      <c r="AM6" s="180" t="n"/>
      <c r="AN6" s="180" t="n"/>
      <c r="AO6" s="180" t="n"/>
      <c r="AP6" s="180" t="n"/>
      <c r="AQ6" s="180" t="n"/>
      <c r="AR6" s="180" t="n"/>
      <c r="AS6" s="180" t="n"/>
      <c r="AT6" s="180" t="n"/>
      <c r="AU6" s="180" t="n"/>
      <c r="AV6" s="180" t="n"/>
      <c r="AW6" s="180" t="n"/>
      <c r="AX6" s="180" t="n"/>
      <c r="AY6" s="180" t="n"/>
      <c r="AZ6" s="180" t="n"/>
      <c r="BA6" s="180" t="n"/>
      <c r="BB6" s="180" t="n"/>
      <c r="BC6" s="180" t="n"/>
      <c r="BD6" s="180" t="n"/>
      <c r="BE6" s="180" t="n"/>
      <c r="BF6" s="180" t="n"/>
      <c r="BG6" s="180" t="n"/>
      <c r="BH6" s="180" t="n"/>
      <c r="BI6" s="180" t="n"/>
      <c r="BJ6" s="180" t="n"/>
      <c r="BK6" s="180" t="n"/>
      <c r="BL6" s="180" t="n"/>
      <c r="BM6" s="180" t="n"/>
      <c r="BN6" s="180" t="n"/>
      <c r="BO6" s="180" t="n"/>
      <c r="BP6" s="180" t="n"/>
      <c r="BQ6" s="180" t="n"/>
      <c r="BR6" s="180" t="n"/>
      <c r="BS6" s="180" t="n"/>
      <c r="BT6" s="180" t="n"/>
      <c r="BU6" s="180" t="n"/>
      <c r="BV6" s="180" t="n"/>
      <c r="BW6" s="180" t="n"/>
      <c r="BX6" s="180" t="n"/>
      <c r="BY6" s="180" t="n"/>
      <c r="BZ6" s="180" t="n"/>
      <c r="CA6" s="180" t="n"/>
      <c r="CB6" s="180" t="n"/>
      <c r="CC6" s="180" t="n"/>
      <c r="CD6" s="180" t="n"/>
      <c r="CE6" s="180" t="n"/>
      <c r="CF6" s="180" t="n"/>
      <c r="CG6" s="180" t="n"/>
      <c r="CH6" s="180" t="n"/>
      <c r="CI6" s="180" t="n"/>
      <c r="CJ6" s="180" t="n"/>
      <c r="CK6" s="180" t="n"/>
      <c r="CL6" s="180" t="n"/>
      <c r="CM6" s="180" t="n"/>
      <c r="CN6" s="180" t="n"/>
      <c r="CO6" s="180" t="n"/>
      <c r="CP6" s="180" t="n"/>
      <c r="CQ6" s="180" t="n"/>
      <c r="CR6" s="180" t="n"/>
      <c r="CS6" s="180" t="n"/>
      <c r="CT6" s="180" t="n"/>
      <c r="CU6" s="180" t="n"/>
      <c r="CV6" s="180" t="n"/>
      <c r="CW6" s="180" t="n"/>
      <c r="CX6" s="180" t="n"/>
      <c r="CY6" s="180" t="n"/>
      <c r="CZ6" s="180" t="n"/>
      <c r="DA6" s="180" t="n"/>
      <c r="DB6" s="180" t="n"/>
      <c r="DC6" s="180" t="n"/>
      <c r="DD6" s="180" t="n"/>
      <c r="DE6" s="180" t="n"/>
      <c r="DF6" s="180" t="n"/>
      <c r="DG6" s="180" t="n"/>
      <c r="DH6" s="180" t="n"/>
      <c r="DI6" s="180" t="n"/>
    </row>
    <row r="7">
      <c r="A7" s="180" t="n">
        <v>6</v>
      </c>
      <c r="B7" s="180" t="inlineStr">
        <is>
          <t>NF_CALIBRATION_V128</t>
        </is>
      </c>
      <c r="C7" s="180" t="inlineStr">
        <is>
          <t>Y</t>
        </is>
      </c>
      <c r="D7" s="181" t="inlineStr">
        <is>
          <t>V128_NF_006</t>
        </is>
      </c>
      <c r="E7" s="180" t="inlineStr">
        <is>
          <t>V128_NF_006_NF270_HighHardness_R85.pdf</t>
        </is>
      </c>
      <c r="F7" s="180" t="inlineStr">
        <is>
          <t>Y</t>
        </is>
      </c>
      <c r="G7" s="180" t="inlineStr">
        <is>
          <t>nf/shared-ro-ui</t>
        </is>
      </c>
      <c r="H7" s="180" t="inlineStr">
        <is>
          <t>experimental</t>
        </is>
      </c>
      <c r="I7" s="180" t="inlineStr">
        <is>
          <t>NF pressure and product-TDS calibration across feed hardness and recovery</t>
        </is>
      </c>
      <c r="J7" s="180" t="inlineStr">
        <is>
          <t>Not Started</t>
        </is>
      </c>
      <c r="K7" s="180" t="inlineStr">
        <is>
          <t>Fresh project per case. Run with --allow-experimental-ro. Keep topology fixed.</t>
        </is>
      </c>
      <c r="L7" s="180" t="inlineStr">
        <is>
          <t>Well Water - High Hardness</t>
        </is>
      </c>
      <c r="M7" s="180" t="n">
        <v>100</v>
      </c>
      <c r="N7" s="180" t="n">
        <v>10</v>
      </c>
      <c r="O7" s="180" t="n">
        <v>25</v>
      </c>
      <c r="P7" s="180" t="n">
        <v>35</v>
      </c>
      <c r="Q7" s="180" t="n">
        <v>1</v>
      </c>
      <c r="R7" s="180" t="n">
        <v>85</v>
      </c>
      <c r="S7" s="180" t="inlineStr">
        <is>
          <t>Design</t>
        </is>
      </c>
      <c r="T7" s="180" t="n">
        <v>25</v>
      </c>
      <c r="U7" s="180" t="n">
        <v>0.85</v>
      </c>
      <c r="V7" s="180" t="n">
        <v>0</v>
      </c>
      <c r="W7" s="180" t="n">
        <v>1</v>
      </c>
      <c r="X7" s="180" t="n">
        <v>10</v>
      </c>
      <c r="Y7" s="180" t="n">
        <v>6</v>
      </c>
      <c r="Z7" s="180" t="inlineStr">
        <is>
          <t>NF270-400/34</t>
        </is>
      </c>
      <c r="AA7" s="180" t="n">
        <v>0</v>
      </c>
      <c r="AB7" s="180" t="n">
        <v>0</v>
      </c>
      <c r="AC7" s="180" t="n">
        <v>0.85</v>
      </c>
      <c r="AD7" s="180" t="n"/>
      <c r="AE7" s="180" t="n"/>
      <c r="AF7" s="180" t="n"/>
      <c r="AG7" s="180" t="n"/>
      <c r="AH7" s="180" t="n"/>
      <c r="AI7" s="180" t="n"/>
      <c r="AJ7" s="180" t="n"/>
      <c r="AK7" s="180" t="n"/>
      <c r="AL7" s="180" t="n"/>
      <c r="AM7" s="180" t="n"/>
      <c r="AN7" s="180" t="n"/>
      <c r="AO7" s="180" t="n"/>
      <c r="AP7" s="180" t="n"/>
      <c r="AQ7" s="180" t="n"/>
      <c r="AR7" s="180" t="n"/>
      <c r="AS7" s="180" t="n"/>
      <c r="AT7" s="180" t="n"/>
      <c r="AU7" s="180" t="n"/>
      <c r="AV7" s="180" t="n"/>
      <c r="AW7" s="180" t="n"/>
      <c r="AX7" s="180" t="n"/>
      <c r="AY7" s="180" t="n"/>
      <c r="AZ7" s="180" t="n"/>
      <c r="BA7" s="180" t="n"/>
      <c r="BB7" s="180" t="n"/>
      <c r="BC7" s="180" t="n"/>
      <c r="BD7" s="180" t="n"/>
      <c r="BE7" s="180" t="n"/>
      <c r="BF7" s="180" t="n"/>
      <c r="BG7" s="180" t="n"/>
      <c r="BH7" s="180" t="n"/>
      <c r="BI7" s="180" t="n"/>
      <c r="BJ7" s="180" t="n"/>
      <c r="BK7" s="180" t="n"/>
      <c r="BL7" s="180" t="n"/>
      <c r="BM7" s="180" t="n"/>
      <c r="BN7" s="180" t="n"/>
      <c r="BO7" s="180" t="n"/>
      <c r="BP7" s="180" t="n"/>
      <c r="BQ7" s="180" t="n"/>
      <c r="BR7" s="180" t="n"/>
      <c r="BS7" s="180" t="n"/>
      <c r="BT7" s="180" t="n"/>
      <c r="BU7" s="180" t="n"/>
      <c r="BV7" s="180" t="n"/>
      <c r="BW7" s="180" t="n"/>
      <c r="BX7" s="180" t="n"/>
      <c r="BY7" s="180" t="n"/>
      <c r="BZ7" s="180" t="n"/>
      <c r="CA7" s="180" t="n"/>
      <c r="CB7" s="180" t="n"/>
      <c r="CC7" s="180" t="n"/>
      <c r="CD7" s="180" t="n"/>
      <c r="CE7" s="180" t="n"/>
      <c r="CF7" s="180" t="n"/>
      <c r="CG7" s="180" t="n"/>
      <c r="CH7" s="180" t="n"/>
      <c r="CI7" s="180" t="n"/>
      <c r="CJ7" s="180" t="n"/>
      <c r="CK7" s="180" t="n"/>
      <c r="CL7" s="180" t="n"/>
      <c r="CM7" s="180" t="n"/>
      <c r="CN7" s="180" t="n"/>
      <c r="CO7" s="180" t="n"/>
      <c r="CP7" s="180" t="n"/>
      <c r="CQ7" s="180" t="n"/>
      <c r="CR7" s="180" t="n"/>
      <c r="CS7" s="180" t="n"/>
      <c r="CT7" s="180" t="n"/>
      <c r="CU7" s="180" t="n"/>
      <c r="CV7" s="180" t="n"/>
      <c r="CW7" s="180" t="n"/>
      <c r="CX7" s="180" t="n"/>
      <c r="CY7" s="180" t="n"/>
      <c r="CZ7" s="180" t="n"/>
      <c r="DA7" s="180" t="n"/>
      <c r="DB7" s="180" t="n"/>
      <c r="DC7" s="180" t="n"/>
      <c r="DD7" s="180" t="n"/>
      <c r="DE7" s="180" t="n"/>
      <c r="DF7" s="180" t="n"/>
      <c r="DG7" s="180" t="n"/>
      <c r="DH7" s="180" t="n"/>
      <c r="DI7" s="180" t="n"/>
    </row>
    <row r="8">
      <c r="A8" s="180" t="n">
        <v>7</v>
      </c>
      <c r="B8" s="180" t="inlineStr">
        <is>
          <t>NF_CALIBRATION_V128</t>
        </is>
      </c>
      <c r="C8" s="180" t="inlineStr">
        <is>
          <t>Y</t>
        </is>
      </c>
      <c r="D8" s="181" t="inlineStr">
        <is>
          <t>V128_NF_007</t>
        </is>
      </c>
      <c r="E8" s="180" t="inlineStr">
        <is>
          <t>V128_NF_007_NF90_LowHardness_R65.pdf</t>
        </is>
      </c>
      <c r="F8" s="180" t="inlineStr">
        <is>
          <t>Y</t>
        </is>
      </c>
      <c r="G8" s="180" t="inlineStr">
        <is>
          <t>nf/shared-ro-ui</t>
        </is>
      </c>
      <c r="H8" s="180" t="inlineStr">
        <is>
          <t>experimental</t>
        </is>
      </c>
      <c r="I8" s="180" t="inlineStr">
        <is>
          <t>NF pressure and product-TDS calibration across feed hardness and recovery</t>
        </is>
      </c>
      <c r="J8" s="180" t="inlineStr">
        <is>
          <t>Not Started</t>
        </is>
      </c>
      <c r="K8" s="180" t="inlineStr">
        <is>
          <t>Fresh project per case. Run with --allow-experimental-ro. Keep topology fixed.</t>
        </is>
      </c>
      <c r="L8" s="180" t="inlineStr">
        <is>
          <t>Well Water - Low Hardness</t>
        </is>
      </c>
      <c r="M8" s="180" t="n">
        <v>100</v>
      </c>
      <c r="N8" s="180" t="n">
        <v>10</v>
      </c>
      <c r="O8" s="180" t="n">
        <v>25</v>
      </c>
      <c r="P8" s="180" t="n">
        <v>35</v>
      </c>
      <c r="Q8" s="180" t="n">
        <v>1</v>
      </c>
      <c r="R8" s="180" t="n">
        <v>65</v>
      </c>
      <c r="S8" s="180" t="inlineStr">
        <is>
          <t>Design</t>
        </is>
      </c>
      <c r="T8" s="180" t="n">
        <v>25</v>
      </c>
      <c r="U8" s="180" t="n">
        <v>0.85</v>
      </c>
      <c r="V8" s="180" t="n">
        <v>0</v>
      </c>
      <c r="W8" s="180" t="n">
        <v>1</v>
      </c>
      <c r="X8" s="180" t="n">
        <v>10</v>
      </c>
      <c r="Y8" s="180" t="n">
        <v>6</v>
      </c>
      <c r="Z8" s="180" t="inlineStr">
        <is>
          <t>NF90-400/34</t>
        </is>
      </c>
      <c r="AA8" s="180" t="n">
        <v>0</v>
      </c>
      <c r="AB8" s="180" t="n">
        <v>0</v>
      </c>
      <c r="AC8" s="180" t="n">
        <v>0.85</v>
      </c>
      <c r="AD8" s="180" t="n"/>
      <c r="AE8" s="180" t="n"/>
      <c r="AF8" s="180" t="n"/>
      <c r="AG8" s="180" t="n"/>
      <c r="AH8" s="180" t="n"/>
      <c r="AI8" s="180" t="n"/>
      <c r="AJ8" s="180" t="n"/>
      <c r="AK8" s="180" t="n"/>
      <c r="AL8" s="180" t="n"/>
      <c r="AM8" s="180" t="n"/>
      <c r="AN8" s="180" t="n"/>
      <c r="AO8" s="180" t="n"/>
      <c r="AP8" s="180" t="n"/>
      <c r="AQ8" s="180" t="n"/>
      <c r="AR8" s="180" t="n"/>
      <c r="AS8" s="180" t="n"/>
      <c r="AT8" s="180" t="n"/>
      <c r="AU8" s="180" t="n"/>
      <c r="AV8" s="180" t="n"/>
      <c r="AW8" s="180" t="n"/>
      <c r="AX8" s="180" t="n"/>
      <c r="AY8" s="180" t="n"/>
      <c r="AZ8" s="180" t="n"/>
      <c r="BA8" s="180" t="n"/>
      <c r="BB8" s="180" t="n"/>
      <c r="BC8" s="180" t="n"/>
      <c r="BD8" s="180" t="n"/>
      <c r="BE8" s="180" t="n"/>
      <c r="BF8" s="180" t="n"/>
      <c r="BG8" s="180" t="n"/>
      <c r="BH8" s="180" t="n"/>
      <c r="BI8" s="180" t="n"/>
      <c r="BJ8" s="180" t="n"/>
      <c r="BK8" s="180" t="n"/>
      <c r="BL8" s="180" t="n"/>
      <c r="BM8" s="180" t="n"/>
      <c r="BN8" s="180" t="n"/>
      <c r="BO8" s="180" t="n"/>
      <c r="BP8" s="180" t="n"/>
      <c r="BQ8" s="180" t="n"/>
      <c r="BR8" s="180" t="n"/>
      <c r="BS8" s="180" t="n"/>
      <c r="BT8" s="180" t="n"/>
      <c r="BU8" s="180" t="n"/>
      <c r="BV8" s="180" t="n"/>
      <c r="BW8" s="180" t="n"/>
      <c r="BX8" s="180" t="n"/>
      <c r="BY8" s="180" t="n"/>
      <c r="BZ8" s="180" t="n"/>
      <c r="CA8" s="180" t="n"/>
      <c r="CB8" s="180" t="n"/>
      <c r="CC8" s="180" t="n"/>
      <c r="CD8" s="180" t="n"/>
      <c r="CE8" s="180" t="n"/>
      <c r="CF8" s="180" t="n"/>
      <c r="CG8" s="180" t="n"/>
      <c r="CH8" s="180" t="n"/>
      <c r="CI8" s="180" t="n"/>
      <c r="CJ8" s="180" t="n"/>
      <c r="CK8" s="180" t="n"/>
      <c r="CL8" s="180" t="n"/>
      <c r="CM8" s="180" t="n"/>
      <c r="CN8" s="180" t="n"/>
      <c r="CO8" s="180" t="n"/>
      <c r="CP8" s="180" t="n"/>
      <c r="CQ8" s="180" t="n"/>
      <c r="CR8" s="180" t="n"/>
      <c r="CS8" s="180" t="n"/>
      <c r="CT8" s="180" t="n"/>
      <c r="CU8" s="180" t="n"/>
      <c r="CV8" s="180" t="n"/>
      <c r="CW8" s="180" t="n"/>
      <c r="CX8" s="180" t="n"/>
      <c r="CY8" s="180" t="n"/>
      <c r="CZ8" s="180" t="n"/>
      <c r="DA8" s="180" t="n"/>
      <c r="DB8" s="180" t="n"/>
      <c r="DC8" s="180" t="n"/>
      <c r="DD8" s="180" t="n"/>
      <c r="DE8" s="180" t="n"/>
      <c r="DF8" s="180" t="n"/>
      <c r="DG8" s="180" t="n"/>
      <c r="DH8" s="180" t="n"/>
      <c r="DI8" s="180" t="n"/>
    </row>
    <row r="9">
      <c r="A9" s="180" t="n">
        <v>8</v>
      </c>
      <c r="B9" s="180" t="inlineStr">
        <is>
          <t>NF_CALIBRATION_V128</t>
        </is>
      </c>
      <c r="C9" s="180" t="inlineStr">
        <is>
          <t>Y</t>
        </is>
      </c>
      <c r="D9" s="181" t="inlineStr">
        <is>
          <t>V128_NF_008</t>
        </is>
      </c>
      <c r="E9" s="180" t="inlineStr">
        <is>
          <t>V128_NF_008_NF90_LowHardness_R85.pdf</t>
        </is>
      </c>
      <c r="F9" s="180" t="inlineStr">
        <is>
          <t>Y</t>
        </is>
      </c>
      <c r="G9" s="180" t="inlineStr">
        <is>
          <t>nf/shared-ro-ui</t>
        </is>
      </c>
      <c r="H9" s="180" t="inlineStr">
        <is>
          <t>experimental</t>
        </is>
      </c>
      <c r="I9" s="180" t="inlineStr">
        <is>
          <t>NF pressure and product-TDS calibration across feed hardness and recovery</t>
        </is>
      </c>
      <c r="J9" s="180" t="inlineStr">
        <is>
          <t>Not Started</t>
        </is>
      </c>
      <c r="K9" s="180" t="inlineStr">
        <is>
          <t>Fresh project per case. Run with --allow-experimental-ro. Keep topology fixed.</t>
        </is>
      </c>
      <c r="L9" s="180" t="inlineStr">
        <is>
          <t>Well Water - Low Hardness</t>
        </is>
      </c>
      <c r="M9" s="180" t="n">
        <v>100</v>
      </c>
      <c r="N9" s="180" t="n">
        <v>10</v>
      </c>
      <c r="O9" s="180" t="n">
        <v>25</v>
      </c>
      <c r="P9" s="180" t="n">
        <v>35</v>
      </c>
      <c r="Q9" s="180" t="n">
        <v>1</v>
      </c>
      <c r="R9" s="180" t="n">
        <v>85</v>
      </c>
      <c r="S9" s="180" t="inlineStr">
        <is>
          <t>Design</t>
        </is>
      </c>
      <c r="T9" s="180" t="n">
        <v>25</v>
      </c>
      <c r="U9" s="180" t="n">
        <v>0.85</v>
      </c>
      <c r="V9" s="180" t="n">
        <v>0</v>
      </c>
      <c r="W9" s="180" t="n">
        <v>1</v>
      </c>
      <c r="X9" s="180" t="n">
        <v>10</v>
      </c>
      <c r="Y9" s="180" t="n">
        <v>6</v>
      </c>
      <c r="Z9" s="180" t="inlineStr">
        <is>
          <t>NF90-400/34</t>
        </is>
      </c>
      <c r="AA9" s="180" t="n">
        <v>0</v>
      </c>
      <c r="AB9" s="180" t="n">
        <v>0</v>
      </c>
      <c r="AC9" s="180" t="n">
        <v>0.85</v>
      </c>
      <c r="AD9" s="180" t="n"/>
      <c r="AE9" s="180" t="n"/>
      <c r="AF9" s="180" t="n"/>
      <c r="AG9" s="180" t="n"/>
      <c r="AH9" s="180" t="n"/>
      <c r="AI9" s="180" t="n"/>
      <c r="AJ9" s="180" t="n"/>
      <c r="AK9" s="180" t="n"/>
      <c r="AL9" s="180" t="n"/>
      <c r="AM9" s="180" t="n"/>
      <c r="AN9" s="180" t="n"/>
      <c r="AO9" s="180" t="n"/>
      <c r="AP9" s="180" t="n"/>
      <c r="AQ9" s="180" t="n"/>
      <c r="AR9" s="180" t="n"/>
      <c r="AS9" s="180" t="n"/>
      <c r="AT9" s="180" t="n"/>
      <c r="AU9" s="180" t="n"/>
      <c r="AV9" s="180" t="n"/>
      <c r="AW9" s="180" t="n"/>
      <c r="AX9" s="180" t="n"/>
      <c r="AY9" s="180" t="n"/>
      <c r="AZ9" s="180" t="n"/>
      <c r="BA9" s="180" t="n"/>
      <c r="BB9" s="180" t="n"/>
      <c r="BC9" s="180" t="n"/>
      <c r="BD9" s="180" t="n"/>
      <c r="BE9" s="180" t="n"/>
      <c r="BF9" s="180" t="n"/>
      <c r="BG9" s="180" t="n"/>
      <c r="BH9" s="180" t="n"/>
      <c r="BI9" s="180" t="n"/>
      <c r="BJ9" s="180" t="n"/>
      <c r="BK9" s="180" t="n"/>
      <c r="BL9" s="180" t="n"/>
      <c r="BM9" s="180" t="n"/>
      <c r="BN9" s="180" t="n"/>
      <c r="BO9" s="180" t="n"/>
      <c r="BP9" s="180" t="n"/>
      <c r="BQ9" s="180" t="n"/>
      <c r="BR9" s="180" t="n"/>
      <c r="BS9" s="180" t="n"/>
      <c r="BT9" s="180" t="n"/>
      <c r="BU9" s="180" t="n"/>
      <c r="BV9" s="180" t="n"/>
      <c r="BW9" s="180" t="n"/>
      <c r="BX9" s="180" t="n"/>
      <c r="BY9" s="180" t="n"/>
      <c r="BZ9" s="180" t="n"/>
      <c r="CA9" s="180" t="n"/>
      <c r="CB9" s="180" t="n"/>
      <c r="CC9" s="180" t="n"/>
      <c r="CD9" s="180" t="n"/>
      <c r="CE9" s="180" t="n"/>
      <c r="CF9" s="180" t="n"/>
      <c r="CG9" s="180" t="n"/>
      <c r="CH9" s="180" t="n"/>
      <c r="CI9" s="180" t="n"/>
      <c r="CJ9" s="180" t="n"/>
      <c r="CK9" s="180" t="n"/>
      <c r="CL9" s="180" t="n"/>
      <c r="CM9" s="180" t="n"/>
      <c r="CN9" s="180" t="n"/>
      <c r="CO9" s="180" t="n"/>
      <c r="CP9" s="180" t="n"/>
      <c r="CQ9" s="180" t="n"/>
      <c r="CR9" s="180" t="n"/>
      <c r="CS9" s="180" t="n"/>
      <c r="CT9" s="180" t="n"/>
      <c r="CU9" s="180" t="n"/>
      <c r="CV9" s="180" t="n"/>
      <c r="CW9" s="180" t="n"/>
      <c r="CX9" s="180" t="n"/>
      <c r="CY9" s="180" t="n"/>
      <c r="CZ9" s="180" t="n"/>
      <c r="DA9" s="180" t="n"/>
      <c r="DB9" s="180" t="n"/>
      <c r="DC9" s="180" t="n"/>
      <c r="DD9" s="180" t="n"/>
      <c r="DE9" s="180" t="n"/>
      <c r="DF9" s="180" t="n"/>
      <c r="DG9" s="180" t="n"/>
      <c r="DH9" s="180" t="n"/>
      <c r="DI9" s="180" t="n"/>
    </row>
    <row r="10">
      <c r="A10" s="180" t="n">
        <v>9</v>
      </c>
      <c r="B10" s="180" t="inlineStr">
        <is>
          <t>NF_CALIBRATION_V128</t>
        </is>
      </c>
      <c r="C10" s="180" t="inlineStr">
        <is>
          <t>Y</t>
        </is>
      </c>
      <c r="D10" s="181" t="inlineStr">
        <is>
          <t>V128_NF_009</t>
        </is>
      </c>
      <c r="E10" s="180" t="inlineStr">
        <is>
          <t>V128_NF_009_NF90_MedHardness_R65.pdf</t>
        </is>
      </c>
      <c r="F10" s="180" t="inlineStr">
        <is>
          <t>Y</t>
        </is>
      </c>
      <c r="G10" s="180" t="inlineStr">
        <is>
          <t>nf/shared-ro-ui</t>
        </is>
      </c>
      <c r="H10" s="180" t="inlineStr">
        <is>
          <t>experimental</t>
        </is>
      </c>
      <c r="I10" s="180" t="inlineStr">
        <is>
          <t>NF pressure and product-TDS calibration across feed hardness and recovery</t>
        </is>
      </c>
      <c r="J10" s="180" t="inlineStr">
        <is>
          <t>Not Started</t>
        </is>
      </c>
      <c r="K10" s="180" t="inlineStr">
        <is>
          <t>Fresh project per case. Run with --allow-experimental-ro. Keep topology fixed.</t>
        </is>
      </c>
      <c r="L10" s="180" t="inlineStr">
        <is>
          <t>Well Water - Med Hardness</t>
        </is>
      </c>
      <c r="M10" s="180" t="n">
        <v>100</v>
      </c>
      <c r="N10" s="180" t="n">
        <v>10</v>
      </c>
      <c r="O10" s="180" t="n">
        <v>25</v>
      </c>
      <c r="P10" s="180" t="n">
        <v>35</v>
      </c>
      <c r="Q10" s="180" t="n">
        <v>1</v>
      </c>
      <c r="R10" s="180" t="n">
        <v>65</v>
      </c>
      <c r="S10" s="180" t="inlineStr">
        <is>
          <t>Design</t>
        </is>
      </c>
      <c r="T10" s="180" t="n">
        <v>25</v>
      </c>
      <c r="U10" s="180" t="n">
        <v>0.85</v>
      </c>
      <c r="V10" s="180" t="n">
        <v>0</v>
      </c>
      <c r="W10" s="180" t="n">
        <v>1</v>
      </c>
      <c r="X10" s="180" t="n">
        <v>10</v>
      </c>
      <c r="Y10" s="180" t="n">
        <v>6</v>
      </c>
      <c r="Z10" s="180" t="inlineStr">
        <is>
          <t>NF90-400/34</t>
        </is>
      </c>
      <c r="AA10" s="180" t="n">
        <v>0</v>
      </c>
      <c r="AB10" s="180" t="n">
        <v>0</v>
      </c>
      <c r="AC10" s="180" t="n">
        <v>0.85</v>
      </c>
      <c r="AD10" s="180" t="n"/>
      <c r="AE10" s="180" t="n"/>
      <c r="AF10" s="180" t="n"/>
      <c r="AG10" s="180" t="n"/>
      <c r="AH10" s="180" t="n"/>
      <c r="AI10" s="180" t="n"/>
      <c r="AJ10" s="180" t="n"/>
      <c r="AK10" s="180" t="n"/>
      <c r="AL10" s="180" t="n"/>
      <c r="AM10" s="180" t="n"/>
      <c r="AN10" s="180" t="n"/>
      <c r="AO10" s="180" t="n"/>
      <c r="AP10" s="180" t="n"/>
      <c r="AQ10" s="180" t="n"/>
      <c r="AR10" s="180" t="n"/>
      <c r="AS10" s="180" t="n"/>
      <c r="AT10" s="180" t="n"/>
      <c r="AU10" s="180" t="n"/>
      <c r="AV10" s="180" t="n"/>
      <c r="AW10" s="180" t="n"/>
      <c r="AX10" s="180" t="n"/>
      <c r="AY10" s="180" t="n"/>
      <c r="AZ10" s="180" t="n"/>
      <c r="BA10" s="180" t="n"/>
      <c r="BB10" s="180" t="n"/>
      <c r="BC10" s="180" t="n"/>
      <c r="BD10" s="180" t="n"/>
      <c r="BE10" s="180" t="n"/>
      <c r="BF10" s="180" t="n"/>
      <c r="BG10" s="180" t="n"/>
      <c r="BH10" s="180" t="n"/>
      <c r="BI10" s="180" t="n"/>
      <c r="BJ10" s="180" t="n"/>
      <c r="BK10" s="180" t="n"/>
      <c r="BL10" s="180" t="n"/>
      <c r="BM10" s="180" t="n"/>
      <c r="BN10" s="180" t="n"/>
      <c r="BO10" s="180" t="n"/>
      <c r="BP10" s="180" t="n"/>
      <c r="BQ10" s="180" t="n"/>
      <c r="BR10" s="180" t="n"/>
      <c r="BS10" s="180" t="n"/>
      <c r="BT10" s="180" t="n"/>
      <c r="BU10" s="180" t="n"/>
      <c r="BV10" s="180" t="n"/>
      <c r="BW10" s="180" t="n"/>
      <c r="BX10" s="180" t="n"/>
      <c r="BY10" s="180" t="n"/>
      <c r="BZ10" s="180" t="n"/>
      <c r="CA10" s="180" t="n"/>
      <c r="CB10" s="180" t="n"/>
      <c r="CC10" s="180" t="n"/>
      <c r="CD10" s="180" t="n"/>
      <c r="CE10" s="180" t="n"/>
      <c r="CF10" s="180" t="n"/>
      <c r="CG10" s="180" t="n"/>
      <c r="CH10" s="180" t="n"/>
      <c r="CI10" s="180" t="n"/>
      <c r="CJ10" s="180" t="n"/>
      <c r="CK10" s="180" t="n"/>
      <c r="CL10" s="180" t="n"/>
      <c r="CM10" s="180" t="n"/>
      <c r="CN10" s="180" t="n"/>
      <c r="CO10" s="180" t="n"/>
      <c r="CP10" s="180" t="n"/>
      <c r="CQ10" s="180" t="n"/>
      <c r="CR10" s="180" t="n"/>
      <c r="CS10" s="180" t="n"/>
      <c r="CT10" s="180" t="n"/>
      <c r="CU10" s="180" t="n"/>
      <c r="CV10" s="180" t="n"/>
      <c r="CW10" s="180" t="n"/>
      <c r="CX10" s="180" t="n"/>
      <c r="CY10" s="180" t="n"/>
      <c r="CZ10" s="180" t="n"/>
      <c r="DA10" s="180" t="n"/>
      <c r="DB10" s="180" t="n"/>
      <c r="DC10" s="180" t="n"/>
      <c r="DD10" s="180" t="n"/>
      <c r="DE10" s="180" t="n"/>
      <c r="DF10" s="180" t="n"/>
      <c r="DG10" s="180" t="n"/>
      <c r="DH10" s="180" t="n"/>
      <c r="DI10" s="180" t="n"/>
    </row>
    <row r="11">
      <c r="A11" s="180" t="n">
        <v>10</v>
      </c>
      <c r="B11" s="180" t="inlineStr">
        <is>
          <t>NF_CALIBRATION_V128</t>
        </is>
      </c>
      <c r="C11" s="180" t="inlineStr">
        <is>
          <t>Y</t>
        </is>
      </c>
      <c r="D11" s="181" t="inlineStr">
        <is>
          <t>V128_NF_010</t>
        </is>
      </c>
      <c r="E11" s="180" t="inlineStr">
        <is>
          <t>V128_NF_010_NF90_MedHardness_R85.pdf</t>
        </is>
      </c>
      <c r="F11" s="180" t="inlineStr">
        <is>
          <t>Y</t>
        </is>
      </c>
      <c r="G11" s="180" t="inlineStr">
        <is>
          <t>nf/shared-ro-ui</t>
        </is>
      </c>
      <c r="H11" s="180" t="inlineStr">
        <is>
          <t>experimental</t>
        </is>
      </c>
      <c r="I11" s="180" t="inlineStr">
        <is>
          <t>NF pressure and product-TDS calibration across feed hardness and recovery</t>
        </is>
      </c>
      <c r="J11" s="180" t="inlineStr">
        <is>
          <t>Not Started</t>
        </is>
      </c>
      <c r="K11" s="180" t="inlineStr">
        <is>
          <t>Fresh project per case. Run with --allow-experimental-ro. Keep topology fixed.</t>
        </is>
      </c>
      <c r="L11" s="180" t="inlineStr">
        <is>
          <t>Well Water - Med Hardness</t>
        </is>
      </c>
      <c r="M11" s="180" t="n">
        <v>100</v>
      </c>
      <c r="N11" s="180" t="n">
        <v>10</v>
      </c>
      <c r="O11" s="180" t="n">
        <v>25</v>
      </c>
      <c r="P11" s="180" t="n">
        <v>35</v>
      </c>
      <c r="Q11" s="180" t="n">
        <v>1</v>
      </c>
      <c r="R11" s="180" t="n">
        <v>85</v>
      </c>
      <c r="S11" s="180" t="inlineStr">
        <is>
          <t>Design</t>
        </is>
      </c>
      <c r="T11" s="180" t="n">
        <v>25</v>
      </c>
      <c r="U11" s="180" t="n">
        <v>0.85</v>
      </c>
      <c r="V11" s="180" t="n">
        <v>0</v>
      </c>
      <c r="W11" s="180" t="n">
        <v>1</v>
      </c>
      <c r="X11" s="180" t="n">
        <v>10</v>
      </c>
      <c r="Y11" s="180" t="n">
        <v>6</v>
      </c>
      <c r="Z11" s="180" t="inlineStr">
        <is>
          <t>NF90-400/34</t>
        </is>
      </c>
      <c r="AA11" s="180" t="n">
        <v>0</v>
      </c>
      <c r="AB11" s="180" t="n">
        <v>0</v>
      </c>
      <c r="AC11" s="180" t="n">
        <v>0.85</v>
      </c>
      <c r="AD11" s="180" t="n"/>
      <c r="AE11" s="180" t="n"/>
      <c r="AF11" s="180" t="n"/>
      <c r="AG11" s="180" t="n"/>
      <c r="AH11" s="180" t="n"/>
      <c r="AI11" s="180" t="n"/>
      <c r="AJ11" s="180" t="n"/>
      <c r="AK11" s="180" t="n"/>
      <c r="AL11" s="180" t="n"/>
      <c r="AM11" s="180" t="n"/>
      <c r="AN11" s="180" t="n"/>
      <c r="AO11" s="180" t="n"/>
      <c r="AP11" s="180" t="n"/>
      <c r="AQ11" s="180" t="n"/>
      <c r="AR11" s="180" t="n"/>
      <c r="AS11" s="180" t="n"/>
      <c r="AT11" s="180" t="n"/>
      <c r="AU11" s="180" t="n"/>
      <c r="AV11" s="180" t="n"/>
      <c r="AW11" s="180" t="n"/>
      <c r="AX11" s="180" t="n"/>
      <c r="AY11" s="180" t="n"/>
      <c r="AZ11" s="180" t="n"/>
      <c r="BA11" s="180" t="n"/>
      <c r="BB11" s="180" t="n"/>
      <c r="BC11" s="180" t="n"/>
      <c r="BD11" s="180" t="n"/>
      <c r="BE11" s="180" t="n"/>
      <c r="BF11" s="180" t="n"/>
      <c r="BG11" s="180" t="n"/>
      <c r="BH11" s="180" t="n"/>
      <c r="BI11" s="180" t="n"/>
      <c r="BJ11" s="180" t="n"/>
      <c r="BK11" s="180" t="n"/>
      <c r="BL11" s="180" t="n"/>
      <c r="BM11" s="180" t="n"/>
      <c r="BN11" s="180" t="n"/>
      <c r="BO11" s="180" t="n"/>
      <c r="BP11" s="180" t="n"/>
      <c r="BQ11" s="180" t="n"/>
      <c r="BR11" s="180" t="n"/>
      <c r="BS11" s="180" t="n"/>
      <c r="BT11" s="180" t="n"/>
      <c r="BU11" s="180" t="n"/>
      <c r="BV11" s="180" t="n"/>
      <c r="BW11" s="180" t="n"/>
      <c r="BX11" s="180" t="n"/>
      <c r="BY11" s="180" t="n"/>
      <c r="BZ11" s="180" t="n"/>
      <c r="CA11" s="180" t="n"/>
      <c r="CB11" s="180" t="n"/>
      <c r="CC11" s="180" t="n"/>
      <c r="CD11" s="180" t="n"/>
      <c r="CE11" s="180" t="n"/>
      <c r="CF11" s="180" t="n"/>
      <c r="CG11" s="180" t="n"/>
      <c r="CH11" s="180" t="n"/>
      <c r="CI11" s="180" t="n"/>
      <c r="CJ11" s="180" t="n"/>
      <c r="CK11" s="180" t="n"/>
      <c r="CL11" s="180" t="n"/>
      <c r="CM11" s="180" t="n"/>
      <c r="CN11" s="180" t="n"/>
      <c r="CO11" s="180" t="n"/>
      <c r="CP11" s="180" t="n"/>
      <c r="CQ11" s="180" t="n"/>
      <c r="CR11" s="180" t="n"/>
      <c r="CS11" s="180" t="n"/>
      <c r="CT11" s="180" t="n"/>
      <c r="CU11" s="180" t="n"/>
      <c r="CV11" s="180" t="n"/>
      <c r="CW11" s="180" t="n"/>
      <c r="CX11" s="180" t="n"/>
      <c r="CY11" s="180" t="n"/>
      <c r="CZ11" s="180" t="n"/>
      <c r="DA11" s="180" t="n"/>
      <c r="DB11" s="180" t="n"/>
      <c r="DC11" s="180" t="n"/>
      <c r="DD11" s="180" t="n"/>
      <c r="DE11" s="180" t="n"/>
      <c r="DF11" s="180" t="n"/>
      <c r="DG11" s="180" t="n"/>
      <c r="DH11" s="180" t="n"/>
      <c r="DI11" s="180" t="n"/>
    </row>
    <row r="12">
      <c r="A12" s="180" t="n">
        <v>11</v>
      </c>
      <c r="B12" s="180" t="inlineStr">
        <is>
          <t>NF_CALIBRATION_V128</t>
        </is>
      </c>
      <c r="C12" s="180" t="inlineStr">
        <is>
          <t>Y</t>
        </is>
      </c>
      <c r="D12" s="181" t="inlineStr">
        <is>
          <t>V128_NF_011</t>
        </is>
      </c>
      <c r="E12" s="180" t="inlineStr">
        <is>
          <t>V128_NF_011_NF90_HighHardness_R65.pdf</t>
        </is>
      </c>
      <c r="F12" s="180" t="inlineStr">
        <is>
          <t>Y</t>
        </is>
      </c>
      <c r="G12" s="180" t="inlineStr">
        <is>
          <t>nf/shared-ro-ui</t>
        </is>
      </c>
      <c r="H12" s="180" t="inlineStr">
        <is>
          <t>experimental</t>
        </is>
      </c>
      <c r="I12" s="180" t="inlineStr">
        <is>
          <t>NF pressure and product-TDS calibration across feed hardness and recovery</t>
        </is>
      </c>
      <c r="J12" s="180" t="inlineStr">
        <is>
          <t>Not Started</t>
        </is>
      </c>
      <c r="K12" s="180" t="inlineStr">
        <is>
          <t>Fresh project per case. Run with --allow-experimental-ro. Keep topology fixed.</t>
        </is>
      </c>
      <c r="L12" s="180" t="inlineStr">
        <is>
          <t>Well Water - High Hardness</t>
        </is>
      </c>
      <c r="M12" s="180" t="n">
        <v>100</v>
      </c>
      <c r="N12" s="180" t="n">
        <v>10</v>
      </c>
      <c r="O12" s="180" t="n">
        <v>25</v>
      </c>
      <c r="P12" s="180" t="n">
        <v>35</v>
      </c>
      <c r="Q12" s="180" t="n">
        <v>1</v>
      </c>
      <c r="R12" s="180" t="n">
        <v>65</v>
      </c>
      <c r="S12" s="180" t="inlineStr">
        <is>
          <t>Design</t>
        </is>
      </c>
      <c r="T12" s="180" t="n">
        <v>25</v>
      </c>
      <c r="U12" s="180" t="n">
        <v>0.85</v>
      </c>
      <c r="V12" s="180" t="n">
        <v>0</v>
      </c>
      <c r="W12" s="180" t="n">
        <v>1</v>
      </c>
      <c r="X12" s="180" t="n">
        <v>10</v>
      </c>
      <c r="Y12" s="180" t="n">
        <v>6</v>
      </c>
      <c r="Z12" s="180" t="inlineStr">
        <is>
          <t>NF90-400/34</t>
        </is>
      </c>
      <c r="AA12" s="180" t="n">
        <v>0</v>
      </c>
      <c r="AB12" s="180" t="n">
        <v>0</v>
      </c>
      <c r="AC12" s="180" t="n">
        <v>0.85</v>
      </c>
      <c r="AD12" s="180" t="n"/>
      <c r="AE12" s="180" t="n"/>
      <c r="AF12" s="180" t="n"/>
      <c r="AG12" s="180" t="n"/>
      <c r="AH12" s="180" t="n"/>
      <c r="AI12" s="180" t="n"/>
      <c r="AJ12" s="180" t="n"/>
      <c r="AK12" s="180" t="n"/>
      <c r="AL12" s="180" t="n"/>
      <c r="AM12" s="180" t="n"/>
      <c r="AN12" s="180" t="n"/>
      <c r="AO12" s="180" t="n"/>
      <c r="AP12" s="180" t="n"/>
      <c r="AQ12" s="180" t="n"/>
      <c r="AR12" s="180" t="n"/>
      <c r="AS12" s="180" t="n"/>
      <c r="AT12" s="180" t="n"/>
      <c r="AU12" s="180" t="n"/>
      <c r="AV12" s="180" t="n"/>
      <c r="AW12" s="180" t="n"/>
      <c r="AX12" s="180" t="n"/>
      <c r="AY12" s="180" t="n"/>
      <c r="AZ12" s="180" t="n"/>
      <c r="BA12" s="180" t="n"/>
      <c r="BB12" s="180" t="n"/>
      <c r="BC12" s="180" t="n"/>
      <c r="BD12" s="180" t="n"/>
      <c r="BE12" s="180" t="n"/>
      <c r="BF12" s="180" t="n"/>
      <c r="BG12" s="180" t="n"/>
      <c r="BH12" s="180" t="n"/>
      <c r="BI12" s="180" t="n"/>
      <c r="BJ12" s="180" t="n"/>
      <c r="BK12" s="180" t="n"/>
      <c r="BL12" s="180" t="n"/>
      <c r="BM12" s="180" t="n"/>
      <c r="BN12" s="180" t="n"/>
      <c r="BO12" s="180" t="n"/>
      <c r="BP12" s="180" t="n"/>
      <c r="BQ12" s="180" t="n"/>
      <c r="BR12" s="180" t="n"/>
      <c r="BS12" s="180" t="n"/>
      <c r="BT12" s="180" t="n"/>
      <c r="BU12" s="180" t="n"/>
      <c r="BV12" s="180" t="n"/>
      <c r="BW12" s="180" t="n"/>
      <c r="BX12" s="180" t="n"/>
      <c r="BY12" s="180" t="n"/>
      <c r="BZ12" s="180" t="n"/>
      <c r="CA12" s="180" t="n"/>
      <c r="CB12" s="180" t="n"/>
      <c r="CC12" s="180" t="n"/>
      <c r="CD12" s="180" t="n"/>
      <c r="CE12" s="180" t="n"/>
      <c r="CF12" s="180" t="n"/>
      <c r="CG12" s="180" t="n"/>
      <c r="CH12" s="180" t="n"/>
      <c r="CI12" s="180" t="n"/>
      <c r="CJ12" s="180" t="n"/>
      <c r="CK12" s="180" t="n"/>
      <c r="CL12" s="180" t="n"/>
      <c r="CM12" s="180" t="n"/>
      <c r="CN12" s="180" t="n"/>
      <c r="CO12" s="180" t="n"/>
      <c r="CP12" s="180" t="n"/>
      <c r="CQ12" s="180" t="n"/>
      <c r="CR12" s="180" t="n"/>
      <c r="CS12" s="180" t="n"/>
      <c r="CT12" s="180" t="n"/>
      <c r="CU12" s="180" t="n"/>
      <c r="CV12" s="180" t="n"/>
      <c r="CW12" s="180" t="n"/>
      <c r="CX12" s="180" t="n"/>
      <c r="CY12" s="180" t="n"/>
      <c r="CZ12" s="180" t="n"/>
      <c r="DA12" s="180" t="n"/>
      <c r="DB12" s="180" t="n"/>
      <c r="DC12" s="180" t="n"/>
      <c r="DD12" s="180" t="n"/>
      <c r="DE12" s="180" t="n"/>
      <c r="DF12" s="180" t="n"/>
      <c r="DG12" s="180" t="n"/>
      <c r="DH12" s="180" t="n"/>
      <c r="DI12" s="180" t="n"/>
    </row>
    <row r="13">
      <c r="A13" s="180" t="n">
        <v>12</v>
      </c>
      <c r="B13" s="180" t="inlineStr">
        <is>
          <t>NF_CALIBRATION_V128</t>
        </is>
      </c>
      <c r="C13" s="180" t="inlineStr">
        <is>
          <t>Y</t>
        </is>
      </c>
      <c r="D13" s="181" t="inlineStr">
        <is>
          <t>V128_NF_012</t>
        </is>
      </c>
      <c r="E13" s="180" t="inlineStr">
        <is>
          <t>V128_NF_012_NF90_HighHardness_R85.pdf</t>
        </is>
      </c>
      <c r="F13" s="180" t="inlineStr">
        <is>
          <t>Y</t>
        </is>
      </c>
      <c r="G13" s="180" t="inlineStr">
        <is>
          <t>nf/shared-ro-ui</t>
        </is>
      </c>
      <c r="H13" s="180" t="inlineStr">
        <is>
          <t>experimental</t>
        </is>
      </c>
      <c r="I13" s="180" t="inlineStr">
        <is>
          <t>NF pressure and product-TDS calibration across feed hardness and recovery</t>
        </is>
      </c>
      <c r="J13" s="180" t="inlineStr">
        <is>
          <t>Not Started</t>
        </is>
      </c>
      <c r="K13" s="180" t="inlineStr">
        <is>
          <t>Fresh project per case. Run with --allow-experimental-ro. Keep topology fixed.</t>
        </is>
      </c>
      <c r="L13" s="180" t="inlineStr">
        <is>
          <t>Well Water - High Hardness</t>
        </is>
      </c>
      <c r="M13" s="180" t="n">
        <v>100</v>
      </c>
      <c r="N13" s="180" t="n">
        <v>10</v>
      </c>
      <c r="O13" s="180" t="n">
        <v>25</v>
      </c>
      <c r="P13" s="180" t="n">
        <v>35</v>
      </c>
      <c r="Q13" s="180" t="n">
        <v>1</v>
      </c>
      <c r="R13" s="180" t="n">
        <v>85</v>
      </c>
      <c r="S13" s="180" t="inlineStr">
        <is>
          <t>Design</t>
        </is>
      </c>
      <c r="T13" s="180" t="n">
        <v>25</v>
      </c>
      <c r="U13" s="180" t="n">
        <v>0.85</v>
      </c>
      <c r="V13" s="180" t="n">
        <v>0</v>
      </c>
      <c r="W13" s="180" t="n">
        <v>1</v>
      </c>
      <c r="X13" s="180" t="n">
        <v>10</v>
      </c>
      <c r="Y13" s="180" t="n">
        <v>6</v>
      </c>
      <c r="Z13" s="180" t="inlineStr">
        <is>
          <t>NF90-400/34</t>
        </is>
      </c>
      <c r="AA13" s="180" t="n">
        <v>0</v>
      </c>
      <c r="AB13" s="180" t="n">
        <v>0</v>
      </c>
      <c r="AC13" s="180" t="n">
        <v>0.85</v>
      </c>
      <c r="AD13" s="180" t="n"/>
      <c r="AE13" s="180" t="n"/>
      <c r="AF13" s="180" t="n"/>
      <c r="AG13" s="180" t="n"/>
      <c r="AH13" s="180" t="n"/>
      <c r="AI13" s="180" t="n"/>
      <c r="AJ13" s="180" t="n"/>
      <c r="AK13" s="180" t="n"/>
      <c r="AL13" s="180" t="n"/>
      <c r="AM13" s="180" t="n"/>
      <c r="AN13" s="180" t="n"/>
      <c r="AO13" s="180" t="n"/>
      <c r="AP13" s="180" t="n"/>
      <c r="AQ13" s="180" t="n"/>
      <c r="AR13" s="180" t="n"/>
      <c r="AS13" s="180" t="n"/>
      <c r="AT13" s="180" t="n"/>
      <c r="AU13" s="180" t="n"/>
      <c r="AV13" s="180" t="n"/>
      <c r="AW13" s="180" t="n"/>
      <c r="AX13" s="180" t="n"/>
      <c r="AY13" s="180" t="n"/>
      <c r="AZ13" s="180" t="n"/>
      <c r="BA13" s="180" t="n"/>
      <c r="BB13" s="180" t="n"/>
      <c r="BC13" s="180" t="n"/>
      <c r="BD13" s="180" t="n"/>
      <c r="BE13" s="180" t="n"/>
      <c r="BF13" s="180" t="n"/>
      <c r="BG13" s="180" t="n"/>
      <c r="BH13" s="180" t="n"/>
      <c r="BI13" s="180" t="n"/>
      <c r="BJ13" s="180" t="n"/>
      <c r="BK13" s="180" t="n"/>
      <c r="BL13" s="180" t="n"/>
      <c r="BM13" s="180" t="n"/>
      <c r="BN13" s="180" t="n"/>
      <c r="BO13" s="180" t="n"/>
      <c r="BP13" s="180" t="n"/>
      <c r="BQ13" s="180" t="n"/>
      <c r="BR13" s="180" t="n"/>
      <c r="BS13" s="180" t="n"/>
      <c r="BT13" s="180" t="n"/>
      <c r="BU13" s="180" t="n"/>
      <c r="BV13" s="180" t="n"/>
      <c r="BW13" s="180" t="n"/>
      <c r="BX13" s="180" t="n"/>
      <c r="BY13" s="180" t="n"/>
      <c r="BZ13" s="180" t="n"/>
      <c r="CA13" s="180" t="n"/>
      <c r="CB13" s="180" t="n"/>
      <c r="CC13" s="180" t="n"/>
      <c r="CD13" s="180" t="n"/>
      <c r="CE13" s="180" t="n"/>
      <c r="CF13" s="180" t="n"/>
      <c r="CG13" s="180" t="n"/>
      <c r="CH13" s="180" t="n"/>
      <c r="CI13" s="180" t="n"/>
      <c r="CJ13" s="180" t="n"/>
      <c r="CK13" s="180" t="n"/>
      <c r="CL13" s="180" t="n"/>
      <c r="CM13" s="180" t="n"/>
      <c r="CN13" s="180" t="n"/>
      <c r="CO13" s="180" t="n"/>
      <c r="CP13" s="180" t="n"/>
      <c r="CQ13" s="180" t="n"/>
      <c r="CR13" s="180" t="n"/>
      <c r="CS13" s="180" t="n"/>
      <c r="CT13" s="180" t="n"/>
      <c r="CU13" s="180" t="n"/>
      <c r="CV13" s="180" t="n"/>
      <c r="CW13" s="180" t="n"/>
      <c r="CX13" s="180" t="n"/>
      <c r="CY13" s="180" t="n"/>
      <c r="CZ13" s="180" t="n"/>
      <c r="DA13" s="180" t="n"/>
      <c r="DB13" s="180" t="n"/>
      <c r="DC13" s="180" t="n"/>
      <c r="DD13" s="180" t="n"/>
      <c r="DE13" s="180" t="n"/>
      <c r="DF13" s="180" t="n"/>
      <c r="DG13" s="180" t="n"/>
      <c r="DH13" s="180" t="n"/>
      <c r="DI13" s="180" t="n"/>
    </row>
  </sheetData>
  <autoFilter ref="A1:DI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2026-07-16T04:16:23Z</dcterms:created>
  <dcterms:modified xsi:type="dcterms:W3CDTF">2026-07-16T04:16:23Z</dcterms:modified>
</cp:coreProperties>
</file>