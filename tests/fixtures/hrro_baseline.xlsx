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엑세스워터\이기윤\고회수율 RO과제,임환규차장\"/>
    </mc:Choice>
  </mc:AlternateContent>
  <xr:revisionPtr revIDLastSave="0" documentId="13_ncr:1_{2DBE80F2-EFB9-4613-84BF-9B8DFE080339}" xr6:coauthVersionLast="47" xr6:coauthVersionMax="47" xr10:uidLastSave="{00000000-0000-0000-0000-000000000000}"/>
  <bookViews>
    <workbookView xWindow="-120" yWindow="-120" windowWidth="29040" windowHeight="15840" activeTab="5" xr2:uid="{3CD67B94-2D41-42D5-A41E-2487C1B275A9}"/>
  </bookViews>
  <sheets>
    <sheet name="CCRO표지" sheetId="1" r:id="rId1"/>
    <sheet name="유입원수성상" sheetId="2" r:id="rId2"/>
    <sheet name="PF,CC" sheetId="5" r:id="rId3"/>
    <sheet name="Guide Line" sheetId="3" r:id="rId4"/>
    <sheet name="RO 막 비교표" sheetId="4" r:id="rId5"/>
    <sheet name="용량 계산" sheetId="6" r:id="rId6"/>
  </sheets>
  <definedNames>
    <definedName name="_xlnm.Print_Area" localSheetId="0">CCRO표지!$A$1:$R$29</definedName>
    <definedName name="_xlnm.Print_Area" localSheetId="3">'Guide Line'!$B$1:$S$24</definedName>
    <definedName name="_xlnm.Print_Area" localSheetId="2">'PF,CC'!$B$4:$L$66</definedName>
    <definedName name="_xlnm.Print_Area" localSheetId="1">유입원수성상!$A$1:$K$27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6" l="1"/>
  <c r="Q6" i="6"/>
  <c r="P5" i="6"/>
  <c r="P6" i="6"/>
  <c r="O5" i="6"/>
  <c r="O6" i="6"/>
  <c r="Q4" i="6"/>
  <c r="P4" i="6"/>
  <c r="O4" i="6"/>
  <c r="C5" i="6"/>
  <c r="N6" i="5"/>
  <c r="N12" i="5"/>
  <c r="O6" i="1"/>
  <c r="N5" i="5"/>
  <c r="I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B35" i="5"/>
  <c r="B34" i="5"/>
  <c r="B33" i="5"/>
  <c r="B32" i="5"/>
  <c r="B31" i="5"/>
  <c r="B30" i="5"/>
  <c r="B29" i="5"/>
  <c r="B28" i="5"/>
  <c r="B27" i="5"/>
  <c r="B26" i="5"/>
  <c r="B25" i="5"/>
  <c r="B24" i="5"/>
  <c r="C17" i="5"/>
  <c r="C16" i="5"/>
  <c r="C15" i="5"/>
  <c r="C14" i="5"/>
  <c r="C13" i="5"/>
  <c r="C12" i="5"/>
  <c r="B23" i="5"/>
  <c r="B22" i="5"/>
  <c r="B21" i="5"/>
  <c r="B20" i="5"/>
  <c r="B19" i="5"/>
  <c r="B18" i="5"/>
  <c r="B17" i="5"/>
  <c r="B16" i="5"/>
  <c r="B15" i="5"/>
  <c r="B14" i="5"/>
  <c r="B13" i="5"/>
  <c r="B12" i="5"/>
  <c r="C11" i="5"/>
  <c r="C10" i="5"/>
  <c r="C9" i="5"/>
  <c r="C8" i="5"/>
  <c r="C7" i="5"/>
  <c r="C6" i="5"/>
  <c r="B11" i="5"/>
  <c r="B10" i="5"/>
  <c r="B9" i="5"/>
  <c r="B8" i="5"/>
  <c r="B7" i="5"/>
  <c r="B6" i="5"/>
  <c r="D11" i="5"/>
  <c r="D10" i="5"/>
  <c r="D9" i="5"/>
  <c r="D8" i="5"/>
  <c r="D7" i="5"/>
  <c r="D6" i="5"/>
  <c r="D2" i="5"/>
  <c r="H6" i="5"/>
  <c r="F6" i="5"/>
  <c r="C20" i="1"/>
  <c r="C22" i="1"/>
  <c r="T5" i="1"/>
  <c r="U7" i="1"/>
  <c r="V7" i="1" l="1"/>
  <c r="T7" i="1"/>
  <c r="O10" i="1"/>
  <c r="C13" i="2"/>
  <c r="D13" i="2"/>
  <c r="B17" i="2"/>
  <c r="B26" i="2" s="1"/>
  <c r="G13" i="2"/>
  <c r="D24" i="2"/>
  <c r="C24" i="2"/>
  <c r="D23" i="2"/>
  <c r="C23" i="2"/>
  <c r="D22" i="2"/>
  <c r="C22" i="2"/>
  <c r="D21" i="2"/>
  <c r="C21" i="2"/>
  <c r="D20" i="2"/>
  <c r="C20" i="2"/>
  <c r="D19" i="2"/>
  <c r="C19" i="2"/>
  <c r="B13" i="2"/>
  <c r="D11" i="2"/>
  <c r="C11" i="2"/>
  <c r="D10" i="2"/>
  <c r="C10" i="2"/>
  <c r="D9" i="2"/>
  <c r="C9" i="2"/>
  <c r="D8" i="2"/>
  <c r="C8" i="2"/>
  <c r="D7" i="2"/>
  <c r="C7" i="2"/>
  <c r="D5" i="2"/>
  <c r="C5" i="2"/>
  <c r="D6" i="2"/>
  <c r="C6" i="2"/>
  <c r="G8" i="1"/>
  <c r="K21" i="1"/>
  <c r="C26" i="1"/>
  <c r="H20" i="1"/>
  <c r="H22" i="1" s="1"/>
  <c r="K18" i="1" s="1"/>
  <c r="H23" i="1" s="1"/>
  <c r="V8" i="1" l="1"/>
  <c r="H24" i="1"/>
  <c r="G9" i="1"/>
  <c r="D17" i="2"/>
  <c r="C17" i="2"/>
  <c r="G15" i="2"/>
  <c r="I19" i="2" s="1"/>
  <c r="G10" i="1" l="1"/>
  <c r="V9" i="1"/>
  <c r="I20" i="2"/>
  <c r="C8" i="1"/>
  <c r="C9" i="1" s="1"/>
  <c r="D18" i="2"/>
  <c r="D26" i="2" s="1"/>
  <c r="C18" i="2"/>
  <c r="C26" i="2" s="1"/>
  <c r="K7" i="1" l="1"/>
  <c r="K8" i="1" s="1"/>
  <c r="V10" i="1"/>
  <c r="O7" i="1" s="1"/>
  <c r="O8" i="1" l="1"/>
  <c r="O9" i="1"/>
  <c r="O11" i="1" s="1"/>
  <c r="K9" i="1"/>
  <c r="K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5" authorId="0" shapeId="0" xr:uid="{570512BF-3AB9-487E-B171-D7636AF1AA6E}">
      <text>
        <r>
          <rPr>
            <b/>
            <sz val="9"/>
            <color indexed="81"/>
            <rFont val="Tahoma"/>
            <family val="2"/>
          </rPr>
          <t>Range
110% ~ 150%</t>
        </r>
      </text>
    </comment>
    <comment ref="O5" authorId="0" shapeId="0" xr:uid="{42F740E5-D09C-4426-9846-C7868F52EA6A}">
      <text>
        <r>
          <rPr>
            <b/>
            <sz val="9"/>
            <color indexed="81"/>
            <rFont val="Tahoma"/>
            <family val="2"/>
          </rPr>
          <t>Range
4.54 ~ 7.95</t>
        </r>
      </text>
    </comment>
    <comment ref="K6" authorId="0" shapeId="0" xr:uid="{F9FF784B-329E-4654-BC8F-4C37A780B553}">
      <text>
        <r>
          <rPr>
            <b/>
            <sz val="9"/>
            <color indexed="81"/>
            <rFont val="Tahoma"/>
            <family val="2"/>
          </rPr>
          <t>Range
10 ~ 30%</t>
        </r>
      </text>
    </comment>
    <comment ref="G7" authorId="0" shapeId="0" xr:uid="{02BA0278-BB57-47EB-A3AC-991C68212DB1}">
      <text>
        <r>
          <rPr>
            <b/>
            <sz val="9"/>
            <color indexed="81"/>
            <rFont val="Tahoma"/>
            <family val="2"/>
          </rPr>
          <t>Range
75 ~ 98%</t>
        </r>
      </text>
    </comment>
  </commentList>
</comments>
</file>

<file path=xl/sharedStrings.xml><?xml version="1.0" encoding="utf-8"?>
<sst xmlns="http://schemas.openxmlformats.org/spreadsheetml/2006/main" count="427" uniqueCount="246">
  <si>
    <t>CCRO System Flow Diagram</t>
    <phoneticPr fontId="1" type="noConversion"/>
  </si>
  <si>
    <t>Feed Water</t>
    <phoneticPr fontId="1" type="noConversion"/>
  </si>
  <si>
    <t>㎥/h</t>
    <phoneticPr fontId="1" type="noConversion"/>
  </si>
  <si>
    <t>Model</t>
    <phoneticPr fontId="1" type="noConversion"/>
  </si>
  <si>
    <t>Suez AG8040F 400 FR</t>
    <phoneticPr fontId="1" type="noConversion"/>
  </si>
  <si>
    <t>permeate
Flow gpd</t>
    <phoneticPr fontId="1" type="noConversion"/>
  </si>
  <si>
    <t>gpd</t>
    <phoneticPr fontId="1" type="noConversion"/>
  </si>
  <si>
    <t>㎥/day</t>
    <phoneticPr fontId="1" type="noConversion"/>
  </si>
  <si>
    <t>membrane area</t>
    <phoneticPr fontId="1" type="noConversion"/>
  </si>
  <si>
    <t>㎡</t>
    <phoneticPr fontId="1" type="noConversion"/>
  </si>
  <si>
    <t>pressure</t>
    <phoneticPr fontId="1" type="noConversion"/>
  </si>
  <si>
    <t>operating</t>
    <phoneticPr fontId="1" type="noConversion"/>
  </si>
  <si>
    <t>max</t>
    <phoneticPr fontId="1" type="noConversion"/>
  </si>
  <si>
    <t>psi</t>
    <phoneticPr fontId="1" type="noConversion"/>
  </si>
  <si>
    <t>Diameter</t>
    <phoneticPr fontId="1" type="noConversion"/>
  </si>
  <si>
    <t>inch</t>
    <phoneticPr fontId="1" type="noConversion"/>
  </si>
  <si>
    <t>R/O membrane Element source</t>
    <phoneticPr fontId="1" type="noConversion"/>
  </si>
  <si>
    <t>CCRO</t>
    <phoneticPr fontId="1" type="noConversion"/>
  </si>
  <si>
    <t>Q :</t>
    <phoneticPr fontId="1" type="noConversion"/>
  </si>
  <si>
    <t>TDS :</t>
    <phoneticPr fontId="1" type="noConversion"/>
  </si>
  <si>
    <t>E.C :</t>
    <phoneticPr fontId="1" type="noConversion"/>
  </si>
  <si>
    <t>mg/L</t>
    <phoneticPr fontId="1" type="noConversion"/>
  </si>
  <si>
    <t>CCRO Stages</t>
    <phoneticPr fontId="1" type="noConversion"/>
  </si>
  <si>
    <t>EA</t>
    <phoneticPr fontId="1" type="noConversion"/>
  </si>
  <si>
    <t>Vessel</t>
    <phoneticPr fontId="1" type="noConversion"/>
  </si>
  <si>
    <t>Element / Vessel</t>
    <phoneticPr fontId="1" type="noConversion"/>
  </si>
  <si>
    <t>Total Element</t>
    <phoneticPr fontId="1" type="noConversion"/>
  </si>
  <si>
    <t>Recovery</t>
    <phoneticPr fontId="1" type="noConversion"/>
  </si>
  <si>
    <t>%</t>
    <phoneticPr fontId="1" type="noConversion"/>
  </si>
  <si>
    <t>Vessel Size</t>
    <phoneticPr fontId="1" type="noConversion"/>
  </si>
  <si>
    <t>Els</t>
    <phoneticPr fontId="1" type="noConversion"/>
  </si>
  <si>
    <t>System Volume</t>
    <phoneticPr fontId="1" type="noConversion"/>
  </si>
  <si>
    <t>㎥</t>
    <phoneticPr fontId="1" type="noConversion"/>
  </si>
  <si>
    <t>spacer</t>
    <phoneticPr fontId="1" type="noConversion"/>
  </si>
  <si>
    <t>㎥/space</t>
    <phoneticPr fontId="1" type="noConversion"/>
  </si>
  <si>
    <t>㎥/Ele</t>
    <phoneticPr fontId="1" type="noConversion"/>
  </si>
  <si>
    <t>Length</t>
    <phoneticPr fontId="1" type="noConversion"/>
  </si>
  <si>
    <t>cm</t>
    <phoneticPr fontId="1" type="noConversion"/>
  </si>
  <si>
    <t>Permeate</t>
    <phoneticPr fontId="1" type="noConversion"/>
  </si>
  <si>
    <t>Concentrate</t>
    <phoneticPr fontId="1" type="noConversion"/>
  </si>
  <si>
    <t>Activ Area</t>
    <phoneticPr fontId="1" type="noConversion"/>
  </si>
  <si>
    <t>Flux</t>
    <phoneticPr fontId="1" type="noConversion"/>
  </si>
  <si>
    <t>LMH</t>
    <phoneticPr fontId="1" type="noConversion"/>
  </si>
  <si>
    <t>㎲/cm</t>
    <phoneticPr fontId="1" type="noConversion"/>
  </si>
  <si>
    <t>PF Cycle</t>
    <phoneticPr fontId="1" type="noConversion"/>
  </si>
  <si>
    <t>CC Cycle</t>
    <phoneticPr fontId="1" type="noConversion"/>
  </si>
  <si>
    <t>Cation(양이온)</t>
    <phoneticPr fontId="1" type="noConversion"/>
  </si>
  <si>
    <t>항목</t>
    <phoneticPr fontId="1" type="noConversion"/>
  </si>
  <si>
    <t>NH4</t>
    <phoneticPr fontId="1" type="noConversion"/>
  </si>
  <si>
    <t>at CaCO3</t>
    <phoneticPr fontId="1" type="noConversion"/>
  </si>
  <si>
    <t>meq/L</t>
    <phoneticPr fontId="1" type="noConversion"/>
  </si>
  <si>
    <t>Element</t>
  </si>
  <si>
    <r>
      <t>active area(m</t>
    </r>
    <r>
      <rPr>
        <vertAlign val="superscript"/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맑은 고딕"/>
        <family val="3"/>
        <charset val="129"/>
      </rPr>
      <t>)</t>
    </r>
  </si>
  <si>
    <t>permeate flow rate (gpd)</t>
  </si>
  <si>
    <t>minimum Salt Rejection(%)</t>
  </si>
  <si>
    <t>Stabilized Salt Rejection(%)</t>
  </si>
  <si>
    <t>비고</t>
  </si>
  <si>
    <t>test condition</t>
  </si>
  <si>
    <t>Filmtec SOAR 4000i Element</t>
  </si>
  <si>
    <t>Low Energy(저압용)</t>
  </si>
  <si>
    <t>13.8bar, 25℃, pH8, 20% recovery</t>
  </si>
  <si>
    <t>Filmtec SOAR 5000i Element</t>
  </si>
  <si>
    <t>16.5bar, 25℃, pH8, 20% recovery</t>
  </si>
  <si>
    <t>Filmtec SOAR 6000i Element</t>
  </si>
  <si>
    <t>27.58bar, 25℃, pH8, 25% recovery</t>
  </si>
  <si>
    <t>Filmtec SOAR 7000i Element</t>
  </si>
  <si>
    <t>AG8040F 400 FR,34</t>
  </si>
  <si>
    <t>현재 사용막</t>
  </si>
  <si>
    <t>15.5bar, 20℃, pH7.5, 15% recovery</t>
  </si>
  <si>
    <t>Fiilmtec BW30FR-400/34 Element</t>
  </si>
  <si>
    <t>wave 막 중 현재 사용막과            가장 유사한 막</t>
  </si>
  <si>
    <t>15.5bar, 25℃, pH8, 15% recovery</t>
  </si>
  <si>
    <t xml:space="preserve">AG-440 </t>
  </si>
  <si>
    <t>15.5bar, 25℃, pH7, 15% recovery</t>
  </si>
  <si>
    <r>
      <t>L</t>
    </r>
    <r>
      <rPr>
        <sz val="11"/>
        <color rgb="FF000000"/>
        <rFont val="맑은 고딕"/>
        <family val="3"/>
        <charset val="129"/>
      </rPr>
      <t>EWABRANE RO B400 FR ASD</t>
    </r>
    <phoneticPr fontId="6" type="noConversion"/>
  </si>
  <si>
    <r>
      <t>L</t>
    </r>
    <r>
      <rPr>
        <sz val="11"/>
        <color rgb="FF000000"/>
        <rFont val="맑은 고딕"/>
        <family val="3"/>
        <charset val="129"/>
      </rPr>
      <t>G BW 440 R G2</t>
    </r>
    <phoneticPr fontId="6" type="noConversion"/>
  </si>
  <si>
    <t>K</t>
    <phoneticPr fontId="1" type="noConversion"/>
  </si>
  <si>
    <t>Na</t>
    <phoneticPr fontId="1" type="noConversion"/>
  </si>
  <si>
    <t>Mg</t>
    <phoneticPr fontId="1" type="noConversion"/>
  </si>
  <si>
    <t>Ca</t>
    <phoneticPr fontId="1" type="noConversion"/>
  </si>
  <si>
    <t>Sr</t>
    <phoneticPr fontId="1" type="noConversion"/>
  </si>
  <si>
    <t>Ba</t>
    <phoneticPr fontId="1" type="noConversion"/>
  </si>
  <si>
    <t>ToTal</t>
    <phoneticPr fontId="1" type="noConversion"/>
  </si>
  <si>
    <t>Anion(양이온)</t>
    <phoneticPr fontId="1" type="noConversion"/>
  </si>
  <si>
    <t>CO2</t>
    <phoneticPr fontId="1" type="noConversion"/>
  </si>
  <si>
    <t>HCO2</t>
    <phoneticPr fontId="1" type="noConversion"/>
  </si>
  <si>
    <t>NO2</t>
    <phoneticPr fontId="1" type="noConversion"/>
  </si>
  <si>
    <t>Cl</t>
    <phoneticPr fontId="1" type="noConversion"/>
  </si>
  <si>
    <t>F</t>
    <phoneticPr fontId="1" type="noConversion"/>
  </si>
  <si>
    <t>SO4</t>
    <phoneticPr fontId="1" type="noConversion"/>
  </si>
  <si>
    <t>PO4</t>
    <phoneticPr fontId="1" type="noConversion"/>
  </si>
  <si>
    <t>Br</t>
    <phoneticPr fontId="1" type="noConversion"/>
  </si>
  <si>
    <t>Neutrals</t>
    <phoneticPr fontId="1" type="noConversion"/>
  </si>
  <si>
    <t>SiO2</t>
    <phoneticPr fontId="1" type="noConversion"/>
  </si>
  <si>
    <t>B</t>
    <phoneticPr fontId="1" type="noConversion"/>
  </si>
  <si>
    <t>Total</t>
    <phoneticPr fontId="1" type="noConversion"/>
  </si>
  <si>
    <t>TDS</t>
    <phoneticPr fontId="1" type="noConversion"/>
  </si>
  <si>
    <t>EC</t>
    <phoneticPr fontId="1" type="noConversion"/>
  </si>
  <si>
    <t>Feed Ratio</t>
    <phoneticPr fontId="1" type="noConversion"/>
  </si>
  <si>
    <t>Feed Flow</t>
    <phoneticPr fontId="1" type="noConversion"/>
  </si>
  <si>
    <t>Permeate Flow</t>
    <phoneticPr fontId="1" type="noConversion"/>
  </si>
  <si>
    <t>Concentrate Flow</t>
    <phoneticPr fontId="1" type="noConversion"/>
  </si>
  <si>
    <t>Cycle</t>
    <phoneticPr fontId="1" type="noConversion"/>
  </si>
  <si>
    <t>회</t>
    <phoneticPr fontId="1" type="noConversion"/>
  </si>
  <si>
    <t>Duration</t>
    <phoneticPr fontId="1" type="noConversion"/>
  </si>
  <si>
    <t>min</t>
    <phoneticPr fontId="1" type="noConversion"/>
  </si>
  <si>
    <t>CO2값 HCO2 자동계산
값이 높을수록 오차 증가</t>
    <phoneticPr fontId="1" type="noConversion"/>
  </si>
  <si>
    <t>㎲/㎠</t>
    <phoneticPr fontId="1" type="noConversion"/>
  </si>
  <si>
    <t>R/O전단 유입원수 성상</t>
    <phoneticPr fontId="1" type="noConversion"/>
  </si>
  <si>
    <t>Conc.Recycle</t>
    <phoneticPr fontId="1" type="noConversion"/>
  </si>
  <si>
    <t>㎥/h/pv</t>
    <phoneticPr fontId="1" type="noConversion"/>
  </si>
  <si>
    <t>Blend Feed Flow</t>
    <phoneticPr fontId="1" type="noConversion"/>
  </si>
  <si>
    <t>Concetrate Flow</t>
    <phoneticPr fontId="1" type="noConversion"/>
  </si>
  <si>
    <t>Feed water 
Type</t>
    <phoneticPr fontId="1" type="noConversion"/>
  </si>
  <si>
    <t>SDI
Value</t>
    <phoneticPr fontId="1" type="noConversion"/>
  </si>
  <si>
    <t>Average
Permeate Flux
(range)</t>
    <phoneticPr fontId="1" type="noConversion"/>
  </si>
  <si>
    <t>Lead Element 
Permeate Flux</t>
    <phoneticPr fontId="1" type="noConversion"/>
  </si>
  <si>
    <t>Concentrate Flow
Rate per Vessel</t>
    <phoneticPr fontId="1" type="noConversion"/>
  </si>
  <si>
    <t>Feed Flow
Rate per Vessel</t>
    <phoneticPr fontId="1" type="noConversion"/>
  </si>
  <si>
    <t>Pressure Drop per Vessel</t>
    <phoneticPr fontId="1" type="noConversion"/>
  </si>
  <si>
    <t>Element
Recovery Rate</t>
    <phoneticPr fontId="1" type="noConversion"/>
  </si>
  <si>
    <t>Beta</t>
    <phoneticPr fontId="1" type="noConversion"/>
  </si>
  <si>
    <t>-</t>
    <phoneticPr fontId="1" type="noConversion"/>
  </si>
  <si>
    <t>Gpd</t>
    <phoneticPr fontId="1" type="noConversion"/>
  </si>
  <si>
    <t>GPD</t>
    <phoneticPr fontId="1" type="noConversion"/>
  </si>
  <si>
    <t>㎥/hr</t>
    <phoneticPr fontId="1" type="noConversion"/>
  </si>
  <si>
    <t>gpm</t>
    <phoneticPr fontId="1" type="noConversion"/>
  </si>
  <si>
    <t>bar</t>
    <phoneticPr fontId="1" type="noConversion"/>
  </si>
  <si>
    <t>Psi</t>
    <phoneticPr fontId="1" type="noConversion"/>
  </si>
  <si>
    <t>%/a</t>
    <phoneticPr fontId="1" type="noConversion"/>
  </si>
  <si>
    <t>municipal
Supply</t>
    <phoneticPr fontId="1" type="noConversion"/>
  </si>
  <si>
    <t>&lt;5</t>
    <phoneticPr fontId="1" type="noConversion"/>
  </si>
  <si>
    <t>23
(20~26)</t>
    <phoneticPr fontId="1" type="noConversion"/>
  </si>
  <si>
    <t>13.5
(12~15)</t>
    <phoneticPr fontId="1" type="noConversion"/>
  </si>
  <si>
    <t>&lt;31</t>
    <phoneticPr fontId="1" type="noConversion"/>
  </si>
  <si>
    <t>&lt;18</t>
    <phoneticPr fontId="1" type="noConversion"/>
  </si>
  <si>
    <t>&gt;3.6</t>
    <phoneticPr fontId="1" type="noConversion"/>
  </si>
  <si>
    <t>&gt;0.7</t>
    <phoneticPr fontId="1" type="noConversion"/>
  </si>
  <si>
    <t>&gt;16</t>
    <phoneticPr fontId="1" type="noConversion"/>
  </si>
  <si>
    <t>&gt;3.1</t>
    <phoneticPr fontId="1" type="noConversion"/>
  </si>
  <si>
    <t>&lt;15</t>
    <phoneticPr fontId="1" type="noConversion"/>
  </si>
  <si>
    <t>&lt;2.8</t>
    <phoneticPr fontId="1" type="noConversion"/>
  </si>
  <si>
    <t>&lt;66</t>
    <phoneticPr fontId="1" type="noConversion"/>
  </si>
  <si>
    <t>&lt;12</t>
    <phoneticPr fontId="1" type="noConversion"/>
  </si>
  <si>
    <t>&lt;2.0</t>
    <phoneticPr fontId="1" type="noConversion"/>
  </si>
  <si>
    <t>&lt;29</t>
    <phoneticPr fontId="1" type="noConversion"/>
  </si>
  <si>
    <t>&lt;1.2</t>
    <phoneticPr fontId="1" type="noConversion"/>
  </si>
  <si>
    <t>&gt;10</t>
    <phoneticPr fontId="1" type="noConversion"/>
  </si>
  <si>
    <t>Brackish
Wells</t>
    <phoneticPr fontId="1" type="noConversion"/>
  </si>
  <si>
    <t>&lt;3</t>
    <phoneticPr fontId="1" type="noConversion"/>
  </si>
  <si>
    <t>27
(23~29)</t>
    <phoneticPr fontId="1" type="noConversion"/>
  </si>
  <si>
    <t>15.9
(14~17)</t>
    <phoneticPr fontId="1" type="noConversion"/>
  </si>
  <si>
    <t>&lt;34</t>
    <phoneticPr fontId="1" type="noConversion"/>
  </si>
  <si>
    <t>&lt;20</t>
    <phoneticPr fontId="1" type="noConversion"/>
  </si>
  <si>
    <t>&gt;3.0</t>
    <phoneticPr fontId="1" type="noConversion"/>
  </si>
  <si>
    <t>&gt;0.6</t>
    <phoneticPr fontId="1" type="noConversion"/>
  </si>
  <si>
    <t>&gt;13</t>
    <phoneticPr fontId="1" type="noConversion"/>
  </si>
  <si>
    <t>&gt;2.6</t>
    <phoneticPr fontId="1" type="noConversion"/>
  </si>
  <si>
    <t>&lt;16</t>
    <phoneticPr fontId="1" type="noConversion"/>
  </si>
  <si>
    <t>&lt;70</t>
    <phoneticPr fontId="1" type="noConversion"/>
  </si>
  <si>
    <t>&lt;3.2</t>
    <phoneticPr fontId="1" type="noConversion"/>
  </si>
  <si>
    <t>&lt;14</t>
    <phoneticPr fontId="1" type="noConversion"/>
  </si>
  <si>
    <t>&lt;3.0</t>
    <phoneticPr fontId="1" type="noConversion"/>
  </si>
  <si>
    <t>&lt;43</t>
    <phoneticPr fontId="1" type="noConversion"/>
  </si>
  <si>
    <t>Surface
Water media
fillteration</t>
    <phoneticPr fontId="1" type="noConversion"/>
  </si>
  <si>
    <t>&lt;2.6</t>
    <phoneticPr fontId="1" type="noConversion"/>
  </si>
  <si>
    <t>Surface
Water MF/UF
Filteration</t>
    <phoneticPr fontId="1" type="noConversion"/>
  </si>
  <si>
    <t>15.0
(14~17)</t>
    <phoneticPr fontId="1" type="noConversion"/>
  </si>
  <si>
    <t>Secondary
Waste media
Filteration</t>
    <phoneticPr fontId="1" type="noConversion"/>
  </si>
  <si>
    <t>17
(14~20)</t>
    <phoneticPr fontId="1" type="noConversion"/>
  </si>
  <si>
    <t>10
(8.2~12)</t>
    <phoneticPr fontId="1" type="noConversion"/>
  </si>
  <si>
    <t>&lt;24</t>
    <phoneticPr fontId="1" type="noConversion"/>
  </si>
  <si>
    <t>&gt;4.1</t>
    <phoneticPr fontId="1" type="noConversion"/>
  </si>
  <si>
    <t>&gt;18</t>
    <phoneticPr fontId="1" type="noConversion"/>
  </si>
  <si>
    <t>&lt;61</t>
    <phoneticPr fontId="1" type="noConversion"/>
  </si>
  <si>
    <t>&gt;15</t>
    <phoneticPr fontId="1" type="noConversion"/>
  </si>
  <si>
    <t>&gt;0.8</t>
    <phoneticPr fontId="1" type="noConversion"/>
  </si>
  <si>
    <t>&gt;3.5</t>
    <phoneticPr fontId="1" type="noConversion"/>
  </si>
  <si>
    <t>&lt;11</t>
    <phoneticPr fontId="1" type="noConversion"/>
  </si>
  <si>
    <t>Secondary
Waste MF/UF
Filteration</t>
    <phoneticPr fontId="1" type="noConversion"/>
  </si>
  <si>
    <t>20
(17~23)</t>
    <phoneticPr fontId="1" type="noConversion"/>
  </si>
  <si>
    <t>11.8
(10~14)</t>
    <phoneticPr fontId="1" type="noConversion"/>
  </si>
  <si>
    <t>&lt;28</t>
    <phoneticPr fontId="1" type="noConversion"/>
  </si>
  <si>
    <t>&lt;17</t>
    <phoneticPr fontId="1" type="noConversion"/>
  </si>
  <si>
    <t>Seawater
Intake media
Filteration</t>
    <phoneticPr fontId="1" type="noConversion"/>
  </si>
  <si>
    <t>14
(11~17)</t>
    <phoneticPr fontId="1" type="noConversion"/>
  </si>
  <si>
    <t>8.2
(6.5~10)</t>
    <phoneticPr fontId="1" type="noConversion"/>
  </si>
  <si>
    <t>&lt;30</t>
    <phoneticPr fontId="1" type="noConversion"/>
  </si>
  <si>
    <t>&lt;13</t>
    <phoneticPr fontId="1" type="noConversion"/>
  </si>
  <si>
    <t>SeaWater
Intake MF/UF
filtertation</t>
    <phoneticPr fontId="1" type="noConversion"/>
  </si>
  <si>
    <t>&lt;35</t>
    <phoneticPr fontId="1" type="noConversion"/>
  </si>
  <si>
    <t>&lt;21</t>
    <phoneticPr fontId="1" type="noConversion"/>
  </si>
  <si>
    <t>&gt;3.4</t>
    <phoneticPr fontId="1" type="noConversion"/>
  </si>
  <si>
    <t>Seawater
Beach Wells</t>
    <phoneticPr fontId="1" type="noConversion"/>
  </si>
  <si>
    <t>).07</t>
    <phoneticPr fontId="1" type="noConversion"/>
  </si>
  <si>
    <t>RO Pemeate</t>
    <phoneticPr fontId="1" type="noConversion"/>
  </si>
  <si>
    <t>&lt;1</t>
    <phoneticPr fontId="1" type="noConversion"/>
  </si>
  <si>
    <t>37
(32~42)</t>
    <phoneticPr fontId="1" type="noConversion"/>
  </si>
  <si>
    <t>21.8
(19~24)</t>
    <phoneticPr fontId="1" type="noConversion"/>
  </si>
  <si>
    <t>&lt;48</t>
    <phoneticPr fontId="1" type="noConversion"/>
  </si>
  <si>
    <t>&lt;26</t>
    <phoneticPr fontId="1" type="noConversion"/>
  </si>
  <si>
    <t>&gt;2.4</t>
    <phoneticPr fontId="1" type="noConversion"/>
  </si>
  <si>
    <t>&gt;11</t>
    <phoneticPr fontId="1" type="noConversion"/>
  </si>
  <si>
    <t>&lt;74</t>
    <phoneticPr fontId="1" type="noConversion"/>
  </si>
  <si>
    <t>&lt;1.3</t>
    <phoneticPr fontId="1" type="noConversion"/>
  </si>
  <si>
    <t>&gt;5</t>
    <phoneticPr fontId="1" type="noConversion"/>
  </si>
  <si>
    <t>&gt;0.5</t>
    <phoneticPr fontId="1" type="noConversion"/>
  </si>
  <si>
    <t>&gt;2.2</t>
    <phoneticPr fontId="1" type="noConversion"/>
  </si>
  <si>
    <t>&lt;3.6</t>
    <phoneticPr fontId="1" type="noConversion"/>
  </si>
  <si>
    <t>Flux Decline
Ratio</t>
    <phoneticPr fontId="1" type="noConversion"/>
  </si>
  <si>
    <t>Salt passge 
increase</t>
    <phoneticPr fontId="1" type="noConversion"/>
  </si>
  <si>
    <t>RO Membrane Design Guide Line</t>
    <phoneticPr fontId="1" type="noConversion"/>
  </si>
  <si>
    <t>낮은</t>
    <phoneticPr fontId="1" type="noConversion"/>
  </si>
  <si>
    <t>염분</t>
    <phoneticPr fontId="1" type="noConversion"/>
  </si>
  <si>
    <t>stage</t>
    <phoneticPr fontId="1" type="noConversion"/>
  </si>
  <si>
    <t>element</t>
    <phoneticPr fontId="1" type="noConversion"/>
  </si>
  <si>
    <t>element name</t>
    <phoneticPr fontId="1" type="noConversion"/>
  </si>
  <si>
    <t>Feed press</t>
    <phoneticPr fontId="1" type="noConversion"/>
  </si>
  <si>
    <t>feed TDS</t>
    <phoneticPr fontId="1" type="noConversion"/>
  </si>
  <si>
    <t>Perm Flux</t>
    <phoneticPr fontId="1" type="noConversion"/>
  </si>
  <si>
    <t>Perm TDS</t>
    <phoneticPr fontId="1" type="noConversion"/>
  </si>
  <si>
    <t>Conc Flow</t>
    <phoneticPr fontId="1" type="noConversion"/>
  </si>
  <si>
    <t>Perm Flow</t>
    <phoneticPr fontId="1" type="noConversion"/>
  </si>
  <si>
    <t>( % )</t>
    <phoneticPr fontId="1" type="noConversion"/>
  </si>
  <si>
    <t>( ㎥/h )</t>
    <phoneticPr fontId="1" type="noConversion"/>
  </si>
  <si>
    <t>( Bar )</t>
    <phoneticPr fontId="1" type="noConversion"/>
  </si>
  <si>
    <t>( mg/L )</t>
    <phoneticPr fontId="1" type="noConversion"/>
  </si>
  <si>
    <t>( LMH )</t>
    <phoneticPr fontId="1" type="noConversion"/>
  </si>
  <si>
    <t>PF</t>
    <phoneticPr fontId="1" type="noConversion"/>
  </si>
  <si>
    <t>CC1</t>
    <phoneticPr fontId="1" type="noConversion"/>
  </si>
  <si>
    <t>CC2</t>
    <phoneticPr fontId="1" type="noConversion"/>
  </si>
  <si>
    <t>CC3</t>
    <phoneticPr fontId="1" type="noConversion"/>
  </si>
  <si>
    <t>CC4</t>
    <phoneticPr fontId="1" type="noConversion"/>
  </si>
  <si>
    <t>(-)</t>
    <phoneticPr fontId="1" type="noConversion"/>
  </si>
  <si>
    <t>ASD</t>
    <phoneticPr fontId="1" type="noConversion"/>
  </si>
  <si>
    <t>permeat</t>
    <phoneticPr fontId="1" type="noConversion"/>
  </si>
  <si>
    <t>recovery</t>
    <phoneticPr fontId="1" type="noConversion"/>
  </si>
  <si>
    <t>효율</t>
    <phoneticPr fontId="1" type="noConversion"/>
  </si>
  <si>
    <t>Qin</t>
    <phoneticPr fontId="1" type="noConversion"/>
  </si>
  <si>
    <t>Concent</t>
    <phoneticPr fontId="1" type="noConversion"/>
  </si>
  <si>
    <t>el 필요수</t>
    <phoneticPr fontId="1" type="noConversion"/>
  </si>
  <si>
    <t>Q in</t>
    <phoneticPr fontId="1" type="noConversion"/>
  </si>
  <si>
    <t>concent</t>
    <phoneticPr fontId="1" type="noConversion"/>
  </si>
  <si>
    <t>CC</t>
    <phoneticPr fontId="1" type="noConversion"/>
  </si>
  <si>
    <t>CFSTR</t>
    <phoneticPr fontId="1" type="noConversion"/>
  </si>
  <si>
    <t>Batch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</si>
</sst>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vertAlign val="superscript"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8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8BE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2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/>
      <right/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ouble">
        <color auto="1"/>
      </top>
      <bottom style="dashed">
        <color auto="1"/>
      </bottom>
      <diagonal/>
    </border>
    <border>
      <left/>
      <right style="medium">
        <color auto="1"/>
      </right>
      <top style="double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thick">
        <color auto="1"/>
      </right>
      <top style="dashed">
        <color auto="1"/>
      </top>
      <bottom/>
      <diagonal/>
    </border>
    <border>
      <left/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hair">
        <color auto="1"/>
      </right>
      <top style="thin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/>
      <bottom style="mediumDashed">
        <color auto="1"/>
      </bottom>
      <diagonal/>
    </border>
    <border>
      <left style="hair">
        <color auto="1"/>
      </left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 style="hair">
        <color auto="1"/>
      </right>
      <top style="mediumDashed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Dashed">
        <color auto="1"/>
      </top>
      <bottom/>
      <diagonal/>
    </border>
    <border>
      <left style="hair">
        <color auto="1"/>
      </left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/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medium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DashDot">
        <color auto="1"/>
      </bottom>
      <diagonal/>
    </border>
    <border>
      <left style="thick">
        <color auto="1"/>
      </left>
      <right style="hair">
        <color auto="1"/>
      </right>
      <top style="mediumDashDot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DashDot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mediumDashDot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2" fontId="0" fillId="0" borderId="0" xfId="0" applyNumberFormat="1">
      <alignment vertical="center"/>
    </xf>
    <xf numFmtId="0" fontId="4" fillId="8" borderId="19" xfId="1" applyFill="1" applyBorder="1" applyAlignment="1">
      <alignment horizontal="center" vertical="center"/>
    </xf>
    <xf numFmtId="0" fontId="4" fillId="9" borderId="19" xfId="1" applyFill="1" applyBorder="1" applyAlignment="1">
      <alignment horizontal="center" vertical="center"/>
    </xf>
    <xf numFmtId="0" fontId="4" fillId="0" borderId="0" xfId="1">
      <alignment vertical="center"/>
    </xf>
    <xf numFmtId="0" fontId="4" fillId="0" borderId="19" xfId="1" applyBorder="1" applyAlignment="1">
      <alignment horizontal="center" vertical="center"/>
    </xf>
    <xf numFmtId="0" fontId="4" fillId="0" borderId="19" xfId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0" fillId="3" borderId="7" xfId="0" applyFill="1" applyBorder="1">
      <alignment vertical="center"/>
    </xf>
    <xf numFmtId="0" fontId="0" fillId="0" borderId="34" xfId="0" applyBorder="1">
      <alignment vertical="center"/>
    </xf>
    <xf numFmtId="0" fontId="0" fillId="0" borderId="12" xfId="0" applyBorder="1">
      <alignment vertical="center"/>
    </xf>
    <xf numFmtId="0" fontId="7" fillId="11" borderId="32" xfId="0" applyFont="1" applyFill="1" applyBorder="1" applyAlignment="1">
      <alignment horizontal="center" vertical="center"/>
    </xf>
    <xf numFmtId="0" fontId="7" fillId="11" borderId="35" xfId="0" applyFont="1" applyFill="1" applyBorder="1" applyAlignment="1">
      <alignment horizontal="center" vertical="center"/>
    </xf>
    <xf numFmtId="0" fontId="0" fillId="2" borderId="21" xfId="0" applyFill="1" applyBorder="1">
      <alignment vertical="center"/>
    </xf>
    <xf numFmtId="0" fontId="0" fillId="12" borderId="21" xfId="0" applyFill="1" applyBorder="1">
      <alignment vertical="center"/>
    </xf>
    <xf numFmtId="0" fontId="0" fillId="7" borderId="25" xfId="0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2" fontId="0" fillId="0" borderId="21" xfId="0" applyNumberFormat="1" applyBorder="1">
      <alignment vertical="center"/>
    </xf>
    <xf numFmtId="2" fontId="0" fillId="2" borderId="21" xfId="0" applyNumberFormat="1" applyFill="1" applyBorder="1">
      <alignment vertical="center"/>
    </xf>
    <xf numFmtId="2" fontId="0" fillId="12" borderId="21" xfId="0" applyNumberFormat="1" applyFill="1" applyBorder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4" borderId="33" xfId="0" applyNumberFormat="1" applyFill="1" applyBorder="1">
      <alignment vertical="center"/>
    </xf>
    <xf numFmtId="2" fontId="0" fillId="4" borderId="11" xfId="0" applyNumberFormat="1" applyFill="1" applyBorder="1">
      <alignment vertical="center"/>
    </xf>
    <xf numFmtId="2" fontId="0" fillId="12" borderId="22" xfId="0" applyNumberFormat="1" applyFill="1" applyBorder="1">
      <alignment vertical="center"/>
    </xf>
    <xf numFmtId="2" fontId="0" fillId="2" borderId="22" xfId="0" applyNumberFormat="1" applyFill="1" applyBorder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2" fontId="0" fillId="0" borderId="42" xfId="0" applyNumberFormat="1" applyBorder="1">
      <alignment vertical="center"/>
    </xf>
    <xf numFmtId="0" fontId="0" fillId="0" borderId="43" xfId="0" applyBorder="1">
      <alignment vertical="center"/>
    </xf>
    <xf numFmtId="176" fontId="0" fillId="0" borderId="44" xfId="0" applyNumberFormat="1" applyBorder="1">
      <alignment vertical="center"/>
    </xf>
    <xf numFmtId="0" fontId="0" fillId="0" borderId="45" xfId="0" applyBorder="1">
      <alignment vertical="center"/>
    </xf>
    <xf numFmtId="0" fontId="0" fillId="0" borderId="48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0" fontId="0" fillId="0" borderId="51" xfId="0" applyFill="1" applyBorder="1">
      <alignment vertical="center"/>
    </xf>
    <xf numFmtId="0" fontId="0" fillId="0" borderId="52" xfId="0" applyBorder="1">
      <alignment vertical="center"/>
    </xf>
    <xf numFmtId="2" fontId="0" fillId="7" borderId="53" xfId="0" applyNumberFormat="1" applyFill="1" applyBorder="1">
      <alignment vertical="center"/>
    </xf>
    <xf numFmtId="2" fontId="0" fillId="7" borderId="55" xfId="0" applyNumberFormat="1" applyFill="1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>
      <alignment vertical="center"/>
    </xf>
    <xf numFmtId="0" fontId="0" fillId="7" borderId="54" xfId="0" applyFill="1" applyBorder="1">
      <alignment vertical="center"/>
    </xf>
    <xf numFmtId="0" fontId="0" fillId="7" borderId="56" xfId="0" applyFill="1" applyBorder="1">
      <alignment vertical="center"/>
    </xf>
    <xf numFmtId="0" fontId="0" fillId="5" borderId="41" xfId="0" applyFill="1" applyBorder="1">
      <alignment vertical="center"/>
    </xf>
    <xf numFmtId="0" fontId="0" fillId="5" borderId="59" xfId="0" applyFill="1" applyBorder="1">
      <alignment vertical="center"/>
    </xf>
    <xf numFmtId="0" fontId="0" fillId="5" borderId="60" xfId="0" applyFill="1" applyBorder="1">
      <alignment vertical="center"/>
    </xf>
    <xf numFmtId="0" fontId="0" fillId="5" borderId="61" xfId="0" applyFill="1" applyBorder="1">
      <alignment vertical="center"/>
    </xf>
    <xf numFmtId="0" fontId="0" fillId="5" borderId="57" xfId="0" applyFill="1" applyBorder="1">
      <alignment vertical="center"/>
    </xf>
    <xf numFmtId="0" fontId="0" fillId="5" borderId="62" xfId="0" applyFill="1" applyBorder="1">
      <alignment vertical="center"/>
    </xf>
    <xf numFmtId="0" fontId="0" fillId="6" borderId="43" xfId="0" applyFill="1" applyBorder="1">
      <alignment vertical="center"/>
    </xf>
    <xf numFmtId="0" fontId="0" fillId="6" borderId="41" xfId="0" applyFill="1" applyBorder="1">
      <alignment vertical="center"/>
    </xf>
    <xf numFmtId="0" fontId="0" fillId="7" borderId="41" xfId="0" applyFill="1" applyBorder="1">
      <alignment vertical="center"/>
    </xf>
    <xf numFmtId="0" fontId="0" fillId="12" borderId="41" xfId="0" applyFill="1" applyBorder="1">
      <alignment vertical="center"/>
    </xf>
    <xf numFmtId="0" fontId="0" fillId="12" borderId="45" xfId="0" applyFill="1" applyBorder="1">
      <alignment vertical="center"/>
    </xf>
    <xf numFmtId="0" fontId="0" fillId="10" borderId="0" xfId="0" applyFill="1" applyAlignment="1">
      <alignment horizontal="center" vertical="center"/>
    </xf>
    <xf numFmtId="0" fontId="0" fillId="13" borderId="70" xfId="0" applyFill="1" applyBorder="1" applyAlignment="1">
      <alignment horizontal="center" vertical="center" wrapText="1"/>
    </xf>
    <xf numFmtId="0" fontId="0" fillId="13" borderId="71" xfId="0" applyFill="1" applyBorder="1" applyAlignment="1">
      <alignment horizontal="center" vertical="center" wrapText="1"/>
    </xf>
    <xf numFmtId="0" fontId="0" fillId="13" borderId="71" xfId="0" applyFill="1" applyBorder="1" applyAlignment="1">
      <alignment horizontal="center" vertical="center"/>
    </xf>
    <xf numFmtId="0" fontId="0" fillId="13" borderId="72" xfId="0" applyFill="1" applyBorder="1" applyAlignment="1">
      <alignment horizontal="center" vertical="center" wrapText="1"/>
    </xf>
    <xf numFmtId="0" fontId="0" fillId="13" borderId="73" xfId="0" applyFill="1" applyBorder="1" applyAlignment="1">
      <alignment horizontal="center" vertical="center"/>
    </xf>
    <xf numFmtId="0" fontId="0" fillId="13" borderId="74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75" xfId="0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2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/>
    </xf>
    <xf numFmtId="0" fontId="0" fillId="15" borderId="0" xfId="0" applyFill="1">
      <alignment vertical="center"/>
    </xf>
    <xf numFmtId="178" fontId="0" fillId="0" borderId="0" xfId="0" applyNumberFormat="1">
      <alignment vertical="center"/>
    </xf>
    <xf numFmtId="2" fontId="0" fillId="5" borderId="58" xfId="0" applyNumberFormat="1" applyFill="1" applyBorder="1">
      <alignment vertical="center"/>
    </xf>
    <xf numFmtId="0" fontId="0" fillId="16" borderId="58" xfId="0" applyFill="1" applyBorder="1">
      <alignment vertical="center"/>
    </xf>
    <xf numFmtId="0" fontId="0" fillId="16" borderId="60" xfId="0" applyFill="1" applyBorder="1">
      <alignment vertical="center"/>
    </xf>
    <xf numFmtId="0" fontId="0" fillId="17" borderId="7" xfId="0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46" xfId="0" applyBorder="1">
      <alignment vertical="center"/>
    </xf>
    <xf numFmtId="0" fontId="0" fillId="0" borderId="0" xfId="0" applyBorder="1">
      <alignment vertical="center"/>
    </xf>
    <xf numFmtId="0" fontId="0" fillId="0" borderId="47" xfId="0" applyBorder="1">
      <alignment vertical="center"/>
    </xf>
    <xf numFmtId="0" fontId="0" fillId="3" borderId="46" xfId="0" applyFill="1" applyBorder="1">
      <alignment vertical="center"/>
    </xf>
    <xf numFmtId="177" fontId="0" fillId="0" borderId="0" xfId="0" applyNumberFormat="1" applyBorder="1">
      <alignment vertical="center"/>
    </xf>
    <xf numFmtId="0" fontId="0" fillId="10" borderId="47" xfId="0" applyFill="1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176" fontId="0" fillId="15" borderId="69" xfId="0" applyNumberFormat="1" applyFill="1" applyBorder="1">
      <alignment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2" fontId="0" fillId="0" borderId="103" xfId="0" applyNumberFormat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6" borderId="58" xfId="0" applyFill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2" fontId="0" fillId="12" borderId="58" xfId="0" applyNumberFormat="1" applyFill="1" applyBorder="1" applyAlignment="1">
      <alignment horizontal="center" vertical="center"/>
    </xf>
    <xf numFmtId="2" fontId="0" fillId="12" borderId="40" xfId="0" applyNumberFormat="1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12" borderId="65" xfId="0" applyFill="1" applyBorder="1" applyAlignment="1">
      <alignment horizontal="center" vertical="center"/>
    </xf>
    <xf numFmtId="0" fontId="0" fillId="12" borderId="66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/>
    </xf>
    <xf numFmtId="0" fontId="0" fillId="16" borderId="63" xfId="0" applyFill="1" applyBorder="1" applyAlignment="1">
      <alignment horizontal="center" vertical="center"/>
    </xf>
    <xf numFmtId="0" fontId="0" fillId="16" borderId="64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4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4" borderId="88" xfId="0" applyFill="1" applyBorder="1" applyAlignment="1">
      <alignment horizontal="center" vertical="center" wrapText="1"/>
    </xf>
    <xf numFmtId="0" fontId="0" fillId="4" borderId="79" xfId="0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/>
    </xf>
    <xf numFmtId="0" fontId="0" fillId="0" borderId="8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4" borderId="82" xfId="0" applyFill="1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8" fillId="14" borderId="68" xfId="0" applyFon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0" xfId="0" applyBorder="1" applyAlignment="1">
      <alignment horizontal="center" vertical="center" wrapText="1"/>
    </xf>
    <xf numFmtId="0" fontId="0" fillId="4" borderId="88" xfId="0" applyFill="1" applyBorder="1" applyAlignment="1">
      <alignment horizontal="center" vertical="center"/>
    </xf>
    <xf numFmtId="0" fontId="0" fillId="4" borderId="89" xfId="0" applyFill="1" applyBorder="1" applyAlignment="1">
      <alignment horizontal="center" vertical="center"/>
    </xf>
    <xf numFmtId="0" fontId="0" fillId="4" borderId="85" xfId="0" applyFill="1" applyBorder="1" applyAlignment="1">
      <alignment horizontal="center" vertical="center" wrapText="1"/>
    </xf>
    <xf numFmtId="0" fontId="0" fillId="13" borderId="71" xfId="0" applyFill="1" applyBorder="1" applyAlignment="1">
      <alignment horizontal="center" vertical="center" wrapText="1"/>
    </xf>
    <xf numFmtId="0" fontId="0" fillId="13" borderId="71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 wrapText="1"/>
    </xf>
    <xf numFmtId="0" fontId="0" fillId="4" borderId="76" xfId="0" applyFill="1" applyBorder="1" applyAlignment="1">
      <alignment horizontal="center" vertical="center" wrapText="1"/>
    </xf>
    <xf numFmtId="0" fontId="4" fillId="3" borderId="19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9" xfId="0" applyBorder="1">
      <alignment vertical="center"/>
    </xf>
    <xf numFmtId="0" fontId="0" fillId="0" borderId="120" xfId="0" applyBorder="1">
      <alignment vertical="center"/>
    </xf>
    <xf numFmtId="0" fontId="0" fillId="0" borderId="12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0" fillId="3" borderId="0" xfId="0" applyFill="1" applyBorder="1">
      <alignment vertical="center"/>
    </xf>
    <xf numFmtId="2" fontId="0" fillId="0" borderId="0" xfId="0" applyNumberFormat="1" applyBorder="1">
      <alignment vertical="center"/>
    </xf>
    <xf numFmtId="0" fontId="0" fillId="0" borderId="122" xfId="0" applyBorder="1">
      <alignment vertical="center"/>
    </xf>
    <xf numFmtId="0" fontId="0" fillId="0" borderId="123" xfId="0" applyBorder="1">
      <alignment vertical="center"/>
    </xf>
    <xf numFmtId="0" fontId="0" fillId="0" borderId="124" xfId="0" applyBorder="1">
      <alignment vertical="center"/>
    </xf>
    <xf numFmtId="0" fontId="0" fillId="0" borderId="0" xfId="0" applyFill="1" applyBorder="1">
      <alignment vertical="center"/>
    </xf>
  </cellXfs>
  <cellStyles count="2">
    <cellStyle name="표준" xfId="0" builtinId="0"/>
    <cellStyle name="표준 2" xfId="1" xr:uid="{88C3989F-2AC2-4BA7-B4B0-83965D137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200025</xdr:rowOff>
    </xdr:from>
    <xdr:to>
      <xdr:col>4</xdr:col>
      <xdr:colOff>676275</xdr:colOff>
      <xdr:row>4</xdr:row>
      <xdr:rowOff>200025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5A51B84-CF53-4E6E-880B-A4DD713CFA7B}"/>
            </a:ext>
          </a:extLst>
        </xdr:cNvPr>
        <xdr:cNvCxnSpPr/>
      </xdr:nvCxnSpPr>
      <xdr:spPr>
        <a:xfrm>
          <a:off x="2762250" y="1695450"/>
          <a:ext cx="657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384143</xdr:colOff>
      <xdr:row>13</xdr:row>
      <xdr:rowOff>141763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4AF88B-2728-4442-AF02-597106D76CC4}"/>
            </a:ext>
          </a:extLst>
        </xdr:cNvPr>
        <xdr:cNvSpPr txBox="1"/>
      </xdr:nvSpPr>
      <xdr:spPr>
        <a:xfrm>
          <a:off x="8613743" y="35231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3</xdr:col>
      <xdr:colOff>44450</xdr:colOff>
      <xdr:row>20</xdr:row>
      <xdr:rowOff>17938</xdr:rowOff>
    </xdr:from>
    <xdr:ext cx="23846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CC1C2C2-562A-4DBB-A6CC-0B35BE04E8BF}"/>
                </a:ext>
              </a:extLst>
            </xdr:cNvPr>
            <xdr:cNvSpPr txBox="1"/>
          </xdr:nvSpPr>
          <xdr:spPr>
            <a:xfrm>
              <a:off x="2101850" y="4866163"/>
              <a:ext cx="23846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ko-K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𝑓𝑡</m:t>
                        </m:r>
                      </m:e>
                      <m:sup>
                        <m:r>
                          <a:rPr lang="en-US" altLang="ko-KR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CC1C2C2-562A-4DBB-A6CC-0B35BE04E8BF}"/>
                </a:ext>
              </a:extLst>
            </xdr:cNvPr>
            <xdr:cNvSpPr txBox="1"/>
          </xdr:nvSpPr>
          <xdr:spPr>
            <a:xfrm>
              <a:off x="2101850" y="4866163"/>
              <a:ext cx="23846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i="0">
                  <a:latin typeface="Cambria Math" panose="02040503050406030204" pitchFamily="18" charset="0"/>
                </a:rPr>
                <a:t>〖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𝑓𝑡〗^</a:t>
              </a:r>
              <a:r>
                <a:rPr lang="en-US" altLang="ko-KR" sz="1100" i="0">
                  <a:latin typeface="Cambria Math" panose="02040503050406030204" pitchFamily="18" charset="0"/>
                </a:rPr>
                <a:t>2</a:t>
              </a:r>
              <a:endParaRPr lang="ko-KR" altLang="en-US" sz="1100"/>
            </a:p>
          </xdr:txBody>
        </xdr:sp>
      </mc:Fallback>
    </mc:AlternateContent>
    <xdr:clientData/>
  </xdr:oneCellAnchor>
  <xdr:twoCellAnchor>
    <xdr:from>
      <xdr:col>8</xdr:col>
      <xdr:colOff>45552</xdr:colOff>
      <xdr:row>4</xdr:row>
      <xdr:rowOff>196297</xdr:rowOff>
    </xdr:from>
    <xdr:to>
      <xdr:col>9</xdr:col>
      <xdr:colOff>15320</xdr:colOff>
      <xdr:row>4</xdr:row>
      <xdr:rowOff>196297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9AE596A3-99B0-4809-8A92-DEE471FD6143}"/>
            </a:ext>
          </a:extLst>
        </xdr:cNvPr>
        <xdr:cNvCxnSpPr/>
      </xdr:nvCxnSpPr>
      <xdr:spPr>
        <a:xfrm>
          <a:off x="5545204" y="1687167"/>
          <a:ext cx="657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127907</xdr:colOff>
      <xdr:row>4</xdr:row>
      <xdr:rowOff>36740</xdr:rowOff>
    </xdr:from>
    <xdr:to>
      <xdr:col>24</xdr:col>
      <xdr:colOff>340178</xdr:colOff>
      <xdr:row>20</xdr:row>
      <xdr:rowOff>29068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388EFB-D4EC-4C9A-998C-97D290D1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6228" y="1928133"/>
          <a:ext cx="3614057" cy="4999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6C24-7B28-4CC9-9498-7C400F2696C9}">
  <dimension ref="A1:Y29"/>
  <sheetViews>
    <sheetView view="pageBreakPreview" zoomScaleNormal="100" zoomScaleSheetLayoutView="100" workbookViewId="0">
      <selection activeCell="N17" sqref="N17"/>
    </sheetView>
  </sheetViews>
  <sheetFormatPr defaultRowHeight="16.5" x14ac:dyDescent="0.3"/>
  <cols>
    <col min="6" max="6" width="11.875" customWidth="1"/>
    <col min="10" max="10" width="17" customWidth="1"/>
    <col min="14" max="14" width="16.125" customWidth="1"/>
  </cols>
  <sheetData>
    <row r="1" spans="1:25" ht="68.25" customHeight="1" x14ac:dyDescent="0.3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3" spans="1:25" x14ac:dyDescent="0.3">
      <c r="J3" s="134" t="s">
        <v>44</v>
      </c>
      <c r="K3" s="134"/>
      <c r="L3" s="134"/>
      <c r="N3" s="134" t="s">
        <v>45</v>
      </c>
      <c r="O3" s="134"/>
      <c r="P3" s="134"/>
    </row>
    <row r="4" spans="1:25" ht="17.25" thickBot="1" x14ac:dyDescent="0.35">
      <c r="J4" s="134"/>
      <c r="K4" s="134"/>
      <c r="L4" s="134"/>
      <c r="N4" s="134"/>
      <c r="O4" s="134"/>
      <c r="P4" s="134"/>
    </row>
    <row r="5" spans="1:25" ht="17.25" thickTop="1" x14ac:dyDescent="0.3">
      <c r="B5" s="158" t="s">
        <v>1</v>
      </c>
      <c r="C5" s="159"/>
      <c r="D5" s="160"/>
      <c r="F5" s="158" t="s">
        <v>17</v>
      </c>
      <c r="G5" s="159"/>
      <c r="H5" s="160"/>
      <c r="J5" s="1" t="s">
        <v>98</v>
      </c>
      <c r="K5">
        <v>110</v>
      </c>
      <c r="L5" t="s">
        <v>28</v>
      </c>
      <c r="N5" t="s">
        <v>109</v>
      </c>
      <c r="O5">
        <v>4.54</v>
      </c>
      <c r="P5" t="s">
        <v>110</v>
      </c>
      <c r="T5" s="100">
        <f>C7</f>
        <v>10</v>
      </c>
      <c r="U5" s="101"/>
      <c r="V5" s="102"/>
    </row>
    <row r="6" spans="1:25" ht="17.25" thickBot="1" x14ac:dyDescent="0.35">
      <c r="B6" s="161"/>
      <c r="C6" s="162"/>
      <c r="D6" s="163"/>
      <c r="F6" s="161"/>
      <c r="G6" s="162"/>
      <c r="H6" s="163"/>
      <c r="J6" s="1" t="s">
        <v>27</v>
      </c>
      <c r="K6">
        <v>10</v>
      </c>
      <c r="L6" t="s">
        <v>28</v>
      </c>
      <c r="N6" t="s">
        <v>27</v>
      </c>
      <c r="O6" s="5">
        <f>(O9/O8)*100</f>
        <v>68.480181772279735</v>
      </c>
      <c r="P6" t="s">
        <v>28</v>
      </c>
      <c r="T6" s="103"/>
      <c r="U6" s="104"/>
      <c r="V6" s="105"/>
    </row>
    <row r="7" spans="1:25" ht="17.25" thickTop="1" x14ac:dyDescent="0.3">
      <c r="B7" s="55" t="s">
        <v>18</v>
      </c>
      <c r="C7" s="58">
        <v>10</v>
      </c>
      <c r="D7" s="59" t="s">
        <v>2</v>
      </c>
      <c r="F7" s="62" t="s">
        <v>27</v>
      </c>
      <c r="G7" s="65">
        <v>85</v>
      </c>
      <c r="H7" s="59" t="s">
        <v>28</v>
      </c>
      <c r="J7" s="79" t="s">
        <v>99</v>
      </c>
      <c r="K7" s="5">
        <f>V9</f>
        <v>10.85</v>
      </c>
      <c r="L7" t="s">
        <v>2</v>
      </c>
      <c r="N7" s="94" t="s">
        <v>99</v>
      </c>
      <c r="O7" s="5">
        <f>V10</f>
        <v>9.8636363636363633</v>
      </c>
      <c r="P7" t="s">
        <v>2</v>
      </c>
      <c r="T7" s="106">
        <f>IF(K5&gt;=101,((C7*G7%)/10),0)</f>
        <v>0.85</v>
      </c>
      <c r="U7" s="104">
        <f>K5</f>
        <v>110</v>
      </c>
      <c r="V7" s="105">
        <f>(U7-100)/10</f>
        <v>1</v>
      </c>
    </row>
    <row r="8" spans="1:25" x14ac:dyDescent="0.3">
      <c r="B8" s="56" t="s">
        <v>19</v>
      </c>
      <c r="C8" s="60">
        <f>유입원수성상!I19</f>
        <v>579.27599999999995</v>
      </c>
      <c r="D8" s="66" t="s">
        <v>21</v>
      </c>
      <c r="F8" s="63" t="s">
        <v>38</v>
      </c>
      <c r="G8" s="60">
        <f>C7*G7/100</f>
        <v>8.5</v>
      </c>
      <c r="H8" s="66" t="s">
        <v>2</v>
      </c>
      <c r="J8" s="1" t="s">
        <v>100</v>
      </c>
      <c r="K8" s="5">
        <f>K7*K6%</f>
        <v>1.085</v>
      </c>
      <c r="L8" t="s">
        <v>2</v>
      </c>
      <c r="N8" t="s">
        <v>111</v>
      </c>
      <c r="O8" s="5">
        <f>O10+O7</f>
        <v>14.403636363636362</v>
      </c>
      <c r="P8" t="s">
        <v>110</v>
      </c>
      <c r="T8" s="103"/>
      <c r="U8" s="107"/>
      <c r="V8" s="105">
        <f>T7*V7</f>
        <v>0.85</v>
      </c>
    </row>
    <row r="9" spans="1:25" ht="17.25" thickBot="1" x14ac:dyDescent="0.35">
      <c r="B9" s="57" t="s">
        <v>20</v>
      </c>
      <c r="C9" s="61">
        <f>C8*1.7</f>
        <v>984.76919999999984</v>
      </c>
      <c r="D9" s="67" t="s">
        <v>43</v>
      </c>
      <c r="F9" s="63" t="s">
        <v>39</v>
      </c>
      <c r="G9" s="60">
        <f>C7-G8</f>
        <v>1.5</v>
      </c>
      <c r="H9" s="66" t="s">
        <v>2</v>
      </c>
      <c r="J9" s="1" t="s">
        <v>101</v>
      </c>
      <c r="K9" s="5">
        <f>K7-K8</f>
        <v>9.7650000000000006</v>
      </c>
      <c r="L9" t="s">
        <v>2</v>
      </c>
      <c r="N9" t="s">
        <v>100</v>
      </c>
      <c r="O9" s="5">
        <f>O7</f>
        <v>9.8636363636363633</v>
      </c>
      <c r="P9" t="s">
        <v>2</v>
      </c>
      <c r="T9" s="103"/>
      <c r="U9" s="104"/>
      <c r="V9" s="108">
        <f>(T5+V8)</f>
        <v>10.85</v>
      </c>
      <c r="W9" s="95"/>
      <c r="X9" s="95"/>
      <c r="Y9" s="95"/>
    </row>
    <row r="10" spans="1:25" ht="18" thickTop="1" thickBot="1" x14ac:dyDescent="0.35">
      <c r="F10" s="64" t="s">
        <v>41</v>
      </c>
      <c r="G10" s="61">
        <f>(G8*1000)/H24</f>
        <v>76.244398279208781</v>
      </c>
      <c r="H10" s="67" t="s">
        <v>42</v>
      </c>
      <c r="J10" s="1" t="s">
        <v>41</v>
      </c>
      <c r="K10" s="5">
        <f>(K8*1000)/H24</f>
        <v>9.732373192110769</v>
      </c>
      <c r="L10" t="s">
        <v>42</v>
      </c>
      <c r="N10" t="s">
        <v>112</v>
      </c>
      <c r="O10">
        <f>O5</f>
        <v>4.54</v>
      </c>
      <c r="P10" t="s">
        <v>110</v>
      </c>
      <c r="T10" s="109"/>
      <c r="U10" s="110"/>
      <c r="V10" s="111">
        <f>V9/K5%</f>
        <v>9.8636363636363633</v>
      </c>
    </row>
    <row r="11" spans="1:25" ht="17.25" thickTop="1" x14ac:dyDescent="0.3">
      <c r="J11" s="1" t="s">
        <v>102</v>
      </c>
      <c r="K11">
        <v>1</v>
      </c>
      <c r="L11" t="s">
        <v>103</v>
      </c>
      <c r="N11" t="s">
        <v>41</v>
      </c>
      <c r="O11" s="5">
        <f>(O9*1000)/H24</f>
        <v>88.476119928279715</v>
      </c>
      <c r="P11" t="s">
        <v>42</v>
      </c>
    </row>
    <row r="12" spans="1:25" x14ac:dyDescent="0.3">
      <c r="J12" s="1" t="s">
        <v>104</v>
      </c>
      <c r="L12" t="s">
        <v>105</v>
      </c>
      <c r="N12" t="s">
        <v>102</v>
      </c>
      <c r="P12" t="s">
        <v>103</v>
      </c>
    </row>
    <row r="13" spans="1:25" x14ac:dyDescent="0.3">
      <c r="N13" t="s">
        <v>104</v>
      </c>
      <c r="P13" t="s">
        <v>105</v>
      </c>
    </row>
    <row r="16" spans="1:25" ht="17.25" thickBot="1" x14ac:dyDescent="0.35"/>
    <row r="17" spans="1:12" ht="17.25" thickBot="1" x14ac:dyDescent="0.35">
      <c r="A17" s="155" t="s">
        <v>16</v>
      </c>
      <c r="B17" s="156"/>
      <c r="C17" s="156"/>
      <c r="D17" s="157"/>
      <c r="F17" s="164" t="s">
        <v>22</v>
      </c>
      <c r="G17" s="165"/>
      <c r="H17" s="165"/>
      <c r="I17" s="165"/>
      <c r="J17" s="166"/>
      <c r="K17" s="155" t="s">
        <v>31</v>
      </c>
      <c r="L17" s="157"/>
    </row>
    <row r="18" spans="1:12" ht="17.25" thickTop="1" x14ac:dyDescent="0.3">
      <c r="A18" s="171" t="s">
        <v>3</v>
      </c>
      <c r="B18" s="172"/>
      <c r="C18" s="180" t="s">
        <v>4</v>
      </c>
      <c r="D18" s="181"/>
      <c r="F18" s="167" t="s">
        <v>24</v>
      </c>
      <c r="G18" s="168"/>
      <c r="H18" s="176">
        <v>1</v>
      </c>
      <c r="I18" s="177"/>
      <c r="J18" s="74" t="s">
        <v>23</v>
      </c>
      <c r="K18" s="51">
        <f>(((3.14*(C26/100)*(C26/100)/4)*(C27/100))*H22)*H18</f>
        <v>0.13172577525759999</v>
      </c>
      <c r="L18" s="52" t="s">
        <v>32</v>
      </c>
    </row>
    <row r="19" spans="1:12" ht="16.5" customHeight="1" x14ac:dyDescent="0.3">
      <c r="A19" s="173" t="s">
        <v>5</v>
      </c>
      <c r="B19" s="174"/>
      <c r="C19" s="97">
        <v>11000</v>
      </c>
      <c r="D19" s="68" t="s">
        <v>6</v>
      </c>
      <c r="F19" s="138" t="s">
        <v>25</v>
      </c>
      <c r="G19" s="139"/>
      <c r="H19" s="140">
        <v>3</v>
      </c>
      <c r="I19" s="141"/>
      <c r="J19" s="75" t="s">
        <v>23</v>
      </c>
      <c r="K19" s="48">
        <v>0.02</v>
      </c>
      <c r="L19" s="47" t="s">
        <v>35</v>
      </c>
    </row>
    <row r="20" spans="1:12" x14ac:dyDescent="0.3">
      <c r="A20" s="173"/>
      <c r="B20" s="174"/>
      <c r="C20" s="96">
        <f>C19*0.003785</f>
        <v>41.635000000000005</v>
      </c>
      <c r="D20" s="68" t="s">
        <v>7</v>
      </c>
      <c r="F20" s="138" t="s">
        <v>26</v>
      </c>
      <c r="G20" s="139"/>
      <c r="H20" s="178">
        <f>H18*H19</f>
        <v>3</v>
      </c>
      <c r="I20" s="179"/>
      <c r="J20" s="75" t="s">
        <v>23</v>
      </c>
      <c r="K20" s="50"/>
      <c r="L20" s="49"/>
    </row>
    <row r="21" spans="1:12" ht="17.25" thickBot="1" x14ac:dyDescent="0.35">
      <c r="A21" s="154" t="s">
        <v>8</v>
      </c>
      <c r="B21" s="175"/>
      <c r="C21" s="97">
        <v>400</v>
      </c>
      <c r="D21" s="68"/>
      <c r="F21" s="138" t="s">
        <v>33</v>
      </c>
      <c r="G21" s="139"/>
      <c r="H21" s="140">
        <v>1</v>
      </c>
      <c r="I21" s="141"/>
      <c r="J21" s="76" t="s">
        <v>23</v>
      </c>
      <c r="K21" s="53">
        <f>((3.14*((C26/100)*(C26/100)))/4)*(C27/100)</f>
        <v>3.2931443814399997E-2</v>
      </c>
      <c r="L21" s="54" t="s">
        <v>34</v>
      </c>
    </row>
    <row r="22" spans="1:12" x14ac:dyDescent="0.3">
      <c r="A22" s="154"/>
      <c r="B22" s="175"/>
      <c r="C22" s="96">
        <f>C21*0.092903</f>
        <v>37.161200000000001</v>
      </c>
      <c r="D22" s="68" t="s">
        <v>9</v>
      </c>
      <c r="F22" s="138" t="s">
        <v>29</v>
      </c>
      <c r="G22" s="139"/>
      <c r="H22" s="142">
        <f>H20+H21</f>
        <v>4</v>
      </c>
      <c r="I22" s="143"/>
      <c r="J22" s="76" t="s">
        <v>30</v>
      </c>
    </row>
    <row r="23" spans="1:12" x14ac:dyDescent="0.3">
      <c r="A23" s="154" t="s">
        <v>10</v>
      </c>
      <c r="B23" s="99" t="s">
        <v>11</v>
      </c>
      <c r="C23" s="97">
        <v>225</v>
      </c>
      <c r="D23" s="68" t="s">
        <v>13</v>
      </c>
      <c r="F23" s="138" t="s">
        <v>31</v>
      </c>
      <c r="G23" s="139"/>
      <c r="H23" s="144">
        <f>K18-((((3.14*(C26/100)*(C26/100))/4)*(C27/100))*H20)+(K21*H21)</f>
        <v>6.5862887628799993E-2</v>
      </c>
      <c r="I23" s="145"/>
      <c r="J23" s="77" t="s">
        <v>32</v>
      </c>
    </row>
    <row r="24" spans="1:12" ht="17.25" thickBot="1" x14ac:dyDescent="0.35">
      <c r="A24" s="154"/>
      <c r="B24" s="99" t="s">
        <v>12</v>
      </c>
      <c r="C24" s="97">
        <v>600</v>
      </c>
      <c r="D24" s="68" t="s">
        <v>13</v>
      </c>
      <c r="F24" s="152" t="s">
        <v>40</v>
      </c>
      <c r="G24" s="153"/>
      <c r="H24" s="169">
        <f>C22*H20</f>
        <v>111.4836</v>
      </c>
      <c r="I24" s="170"/>
      <c r="J24" s="78" t="s">
        <v>32</v>
      </c>
    </row>
    <row r="25" spans="1:12" x14ac:dyDescent="0.3">
      <c r="A25" s="146" t="s">
        <v>14</v>
      </c>
      <c r="B25" s="147"/>
      <c r="C25" s="97">
        <v>8</v>
      </c>
      <c r="D25" s="69" t="s">
        <v>15</v>
      </c>
    </row>
    <row r="26" spans="1:12" x14ac:dyDescent="0.3">
      <c r="A26" s="148"/>
      <c r="B26" s="149"/>
      <c r="C26" s="70">
        <f>C25*2.54</f>
        <v>20.32</v>
      </c>
      <c r="D26" s="71" t="s">
        <v>37</v>
      </c>
    </row>
    <row r="27" spans="1:12" x14ac:dyDescent="0.3">
      <c r="A27" s="150" t="s">
        <v>36</v>
      </c>
      <c r="B27" s="151"/>
      <c r="C27" s="98">
        <v>101.6</v>
      </c>
      <c r="D27" s="71" t="s">
        <v>37</v>
      </c>
    </row>
    <row r="28" spans="1:12" ht="17.25" thickBot="1" x14ac:dyDescent="0.35">
      <c r="A28" s="136" t="s">
        <v>27</v>
      </c>
      <c r="B28" s="137"/>
      <c r="C28" s="72">
        <v>15</v>
      </c>
      <c r="D28" s="73" t="s">
        <v>28</v>
      </c>
    </row>
    <row r="29" spans="1:12" ht="17.25" thickTop="1" x14ac:dyDescent="0.3"/>
  </sheetData>
  <mergeCells count="30">
    <mergeCell ref="A18:B18"/>
    <mergeCell ref="A19:B20"/>
    <mergeCell ref="A21:B22"/>
    <mergeCell ref="H18:I18"/>
    <mergeCell ref="H19:I19"/>
    <mergeCell ref="F20:G20"/>
    <mergeCell ref="H20:I20"/>
    <mergeCell ref="C18:D18"/>
    <mergeCell ref="F5:H6"/>
    <mergeCell ref="F17:J17"/>
    <mergeCell ref="F18:G18"/>
    <mergeCell ref="H24:I24"/>
    <mergeCell ref="K17:L17"/>
    <mergeCell ref="F19:G19"/>
    <mergeCell ref="J3:L4"/>
    <mergeCell ref="N3:P4"/>
    <mergeCell ref="A1:R1"/>
    <mergeCell ref="A28:B28"/>
    <mergeCell ref="F21:G21"/>
    <mergeCell ref="H21:I21"/>
    <mergeCell ref="F22:G22"/>
    <mergeCell ref="H22:I22"/>
    <mergeCell ref="F23:G23"/>
    <mergeCell ref="H23:I23"/>
    <mergeCell ref="A25:B26"/>
    <mergeCell ref="A27:B27"/>
    <mergeCell ref="F24:G24"/>
    <mergeCell ref="A23:A24"/>
    <mergeCell ref="A17:D17"/>
    <mergeCell ref="B5:D6"/>
  </mergeCells>
  <phoneticPr fontId="1" type="noConversion"/>
  <pageMargins left="0.7" right="0.7" top="0.75" bottom="0.75" header="0.3" footer="0.3"/>
  <pageSetup paperSize="9" scale="6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5177-1A28-427B-96AC-E22C0F7B9A6E}">
  <sheetPr>
    <tabColor rgb="FF00B050"/>
  </sheetPr>
  <dimension ref="A1:K26"/>
  <sheetViews>
    <sheetView view="pageBreakPreview" zoomScale="115" zoomScaleNormal="100" zoomScaleSheetLayoutView="115" workbookViewId="0">
      <selection activeCell="I17" sqref="I17"/>
    </sheetView>
  </sheetViews>
  <sheetFormatPr defaultRowHeight="16.5" x14ac:dyDescent="0.3"/>
  <sheetData>
    <row r="1" spans="1:11" ht="75" customHeight="1" thickTop="1" thickBot="1" x14ac:dyDescent="0.35">
      <c r="A1" s="193" t="s">
        <v>108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13.5" customHeight="1" thickTop="1" thickBot="1" x14ac:dyDescent="0.35"/>
    <row r="3" spans="1:11" ht="17.25" thickBot="1" x14ac:dyDescent="0.35">
      <c r="A3" s="182" t="s">
        <v>46</v>
      </c>
      <c r="B3" s="183"/>
      <c r="C3" s="183"/>
      <c r="D3" s="184"/>
    </row>
    <row r="4" spans="1:11" ht="17.25" thickTop="1" x14ac:dyDescent="0.3">
      <c r="A4" s="20" t="s">
        <v>47</v>
      </c>
      <c r="B4" s="21" t="s">
        <v>21</v>
      </c>
      <c r="C4" s="21" t="s">
        <v>49</v>
      </c>
      <c r="D4" s="22" t="s">
        <v>50</v>
      </c>
    </row>
    <row r="5" spans="1:11" x14ac:dyDescent="0.3">
      <c r="A5" s="23" t="s">
        <v>48</v>
      </c>
      <c r="B5" s="3">
        <v>3</v>
      </c>
      <c r="C5" s="39">
        <f>B5*2.774</f>
        <v>8.3219999999999992</v>
      </c>
      <c r="D5" s="40">
        <f>B5*0.055</f>
        <v>0.16500000000000001</v>
      </c>
    </row>
    <row r="6" spans="1:11" x14ac:dyDescent="0.3">
      <c r="A6" s="23" t="s">
        <v>76</v>
      </c>
      <c r="B6" s="3">
        <v>3</v>
      </c>
      <c r="C6" s="39">
        <f>B6*1.28</f>
        <v>3.84</v>
      </c>
      <c r="D6" s="40">
        <f>B6*0.026</f>
        <v>7.8E-2</v>
      </c>
    </row>
    <row r="7" spans="1:11" x14ac:dyDescent="0.3">
      <c r="A7" s="23" t="s">
        <v>77</v>
      </c>
      <c r="B7" s="3">
        <v>3</v>
      </c>
      <c r="C7" s="39">
        <f>B7*2.177</f>
        <v>6.5310000000000006</v>
      </c>
      <c r="D7" s="40">
        <f>B7*0.043</f>
        <v>0.129</v>
      </c>
    </row>
    <row r="8" spans="1:11" ht="17.25" thickBot="1" x14ac:dyDescent="0.35">
      <c r="A8" s="23" t="s">
        <v>78</v>
      </c>
      <c r="B8" s="3">
        <v>1</v>
      </c>
      <c r="C8" s="39">
        <f>B8*4.118</f>
        <v>4.1180000000000003</v>
      </c>
      <c r="D8" s="40">
        <f>B8*0.082</f>
        <v>8.2000000000000003E-2</v>
      </c>
    </row>
    <row r="9" spans="1:11" ht="17.25" thickBot="1" x14ac:dyDescent="0.35">
      <c r="A9" s="23" t="s">
        <v>79</v>
      </c>
      <c r="B9" s="3">
        <v>1</v>
      </c>
      <c r="C9" s="39">
        <f>B9*2.497</f>
        <v>2.4969999999999999</v>
      </c>
      <c r="D9" s="40">
        <f>B9*0.05</f>
        <v>0.05</v>
      </c>
      <c r="F9" s="188" t="s">
        <v>92</v>
      </c>
      <c r="G9" s="189"/>
      <c r="H9" s="190"/>
      <c r="I9" s="191" t="s">
        <v>106</v>
      </c>
      <c r="J9" s="192"/>
      <c r="K9" s="192"/>
    </row>
    <row r="10" spans="1:11" ht="17.25" thickTop="1" x14ac:dyDescent="0.3">
      <c r="A10" s="23" t="s">
        <v>80</v>
      </c>
      <c r="B10" s="3">
        <v>1</v>
      </c>
      <c r="C10" s="39">
        <f>B10*1.142</f>
        <v>1.1419999999999999</v>
      </c>
      <c r="D10" s="40">
        <f>B10*0.023</f>
        <v>2.3E-2</v>
      </c>
      <c r="F10" s="30" t="s">
        <v>47</v>
      </c>
      <c r="G10" s="32" t="s">
        <v>21</v>
      </c>
      <c r="H10" s="19"/>
      <c r="I10" s="192"/>
      <c r="J10" s="192"/>
      <c r="K10" s="192"/>
    </row>
    <row r="11" spans="1:11" x14ac:dyDescent="0.3">
      <c r="A11" s="23" t="s">
        <v>81</v>
      </c>
      <c r="B11" s="3">
        <v>1</v>
      </c>
      <c r="C11" s="39">
        <f>B11*0.729</f>
        <v>0.72899999999999998</v>
      </c>
      <c r="D11" s="40">
        <f>B11*0.015</f>
        <v>1.4999999999999999E-2</v>
      </c>
      <c r="F11" s="31" t="s">
        <v>93</v>
      </c>
      <c r="G11" s="4"/>
      <c r="H11" s="2"/>
      <c r="I11" s="192"/>
      <c r="J11" s="192"/>
      <c r="K11" s="192"/>
    </row>
    <row r="12" spans="1:11" x14ac:dyDescent="0.3">
      <c r="A12" s="45"/>
      <c r="B12" s="46"/>
      <c r="C12" s="46"/>
      <c r="D12" s="47"/>
      <c r="F12" s="31" t="s">
        <v>94</v>
      </c>
      <c r="G12" s="4"/>
      <c r="H12" s="2"/>
    </row>
    <row r="13" spans="1:11" ht="17.25" thickBot="1" x14ac:dyDescent="0.35">
      <c r="A13" s="24" t="s">
        <v>82</v>
      </c>
      <c r="B13" s="17">
        <f>SUM(B5:B11)</f>
        <v>13</v>
      </c>
      <c r="C13" s="37">
        <f t="shared" ref="C13:D13" si="0">SUM(C5:C11)</f>
        <v>27.178999999999998</v>
      </c>
      <c r="D13" s="44">
        <f t="shared" si="0"/>
        <v>0.54200000000000004</v>
      </c>
      <c r="F13" s="31" t="s">
        <v>84</v>
      </c>
      <c r="G13" s="12">
        <f>B18*0.17*0.9*0.8*0.98</f>
        <v>59.975999999999999</v>
      </c>
      <c r="H13" s="2"/>
    </row>
    <row r="14" spans="1:11" ht="17.25" thickBot="1" x14ac:dyDescent="0.35">
      <c r="F14" s="31"/>
      <c r="G14" s="4"/>
      <c r="H14" s="2"/>
    </row>
    <row r="15" spans="1:11" ht="17.25" thickBot="1" x14ac:dyDescent="0.35">
      <c r="A15" s="185" t="s">
        <v>83</v>
      </c>
      <c r="B15" s="186"/>
      <c r="C15" s="186"/>
      <c r="D15" s="187"/>
      <c r="F15" s="33" t="s">
        <v>82</v>
      </c>
      <c r="G15" s="36">
        <f>SUM(G11:G13)</f>
        <v>59.975999999999999</v>
      </c>
      <c r="H15" s="11"/>
    </row>
    <row r="16" spans="1:11" ht="17.25" thickTop="1" x14ac:dyDescent="0.3">
      <c r="A16" s="25" t="s">
        <v>47</v>
      </c>
      <c r="B16" s="27" t="s">
        <v>21</v>
      </c>
      <c r="C16" s="27" t="s">
        <v>49</v>
      </c>
      <c r="D16" s="28" t="s">
        <v>50</v>
      </c>
    </row>
    <row r="17" spans="1:10" x14ac:dyDescent="0.3">
      <c r="A17" s="26" t="s">
        <v>84</v>
      </c>
      <c r="B17" s="34">
        <f>B18*0.0006</f>
        <v>0.3</v>
      </c>
      <c r="C17" s="39">
        <f>B17*1.668</f>
        <v>0.50039999999999996</v>
      </c>
      <c r="D17" s="40">
        <f>B17*0.033</f>
        <v>9.9000000000000008E-3</v>
      </c>
    </row>
    <row r="18" spans="1:10" ht="17.25" thickBot="1" x14ac:dyDescent="0.35">
      <c r="A18" s="26" t="s">
        <v>85</v>
      </c>
      <c r="B18" s="35">
        <v>500</v>
      </c>
      <c r="C18" s="39">
        <f>B18*0.82</f>
        <v>410</v>
      </c>
      <c r="D18" s="40">
        <f>B18*0.016</f>
        <v>8</v>
      </c>
    </row>
    <row r="19" spans="1:10" ht="17.25" thickTop="1" x14ac:dyDescent="0.3">
      <c r="A19" s="26" t="s">
        <v>86</v>
      </c>
      <c r="B19" s="3">
        <v>1</v>
      </c>
      <c r="C19" s="39">
        <f>B19*0.807</f>
        <v>0.80700000000000005</v>
      </c>
      <c r="D19" s="40">
        <f>B19*0.016</f>
        <v>1.6E-2</v>
      </c>
      <c r="H19" s="15" t="s">
        <v>96</v>
      </c>
      <c r="I19" s="41">
        <f>B13+B26+G15</f>
        <v>579.27599999999995</v>
      </c>
      <c r="J19" s="13" t="s">
        <v>21</v>
      </c>
    </row>
    <row r="20" spans="1:10" ht="17.25" thickBot="1" x14ac:dyDescent="0.35">
      <c r="A20" s="26" t="s">
        <v>87</v>
      </c>
      <c r="B20" s="3">
        <v>1</v>
      </c>
      <c r="C20" s="39">
        <f>B20*1.412</f>
        <v>1.4119999999999999</v>
      </c>
      <c r="D20" s="40">
        <f>B20*0.028</f>
        <v>2.8000000000000001E-2</v>
      </c>
      <c r="H20" s="16" t="s">
        <v>97</v>
      </c>
      <c r="I20" s="42">
        <f>I19*1.7</f>
        <v>984.76919999999984</v>
      </c>
      <c r="J20" s="14" t="s">
        <v>107</v>
      </c>
    </row>
    <row r="21" spans="1:10" ht="17.25" thickTop="1" x14ac:dyDescent="0.3">
      <c r="A21" s="26" t="s">
        <v>88</v>
      </c>
      <c r="B21" s="3">
        <v>1</v>
      </c>
      <c r="C21" s="39">
        <f>B21*2.634</f>
        <v>2.6339999999999999</v>
      </c>
      <c r="D21" s="40">
        <f>B21*0.053</f>
        <v>5.2999999999999999E-2</v>
      </c>
    </row>
    <row r="22" spans="1:10" x14ac:dyDescent="0.3">
      <c r="A22" s="26" t="s">
        <v>89</v>
      </c>
      <c r="B22" s="3">
        <v>1</v>
      </c>
      <c r="C22" s="39">
        <f>B22*1.042</f>
        <v>1.042</v>
      </c>
      <c r="D22" s="40">
        <f>B22*0.021</f>
        <v>2.1000000000000001E-2</v>
      </c>
    </row>
    <row r="23" spans="1:10" x14ac:dyDescent="0.3">
      <c r="A23" s="26" t="s">
        <v>90</v>
      </c>
      <c r="B23" s="3">
        <v>1</v>
      </c>
      <c r="C23" s="39">
        <f>B23*1.581</f>
        <v>1.581</v>
      </c>
      <c r="D23" s="40">
        <f>B23*0.032</f>
        <v>3.2000000000000001E-2</v>
      </c>
    </row>
    <row r="24" spans="1:10" x14ac:dyDescent="0.3">
      <c r="A24" s="26" t="s">
        <v>91</v>
      </c>
      <c r="B24" s="3">
        <v>1</v>
      </c>
      <c r="C24" s="39">
        <f>B24*0.626</f>
        <v>0.626</v>
      </c>
      <c r="D24" s="40">
        <f>B24*0.013</f>
        <v>1.2999999999999999E-2</v>
      </c>
    </row>
    <row r="25" spans="1:10" x14ac:dyDescent="0.3">
      <c r="A25" s="48"/>
      <c r="B25" s="46"/>
      <c r="C25" s="46"/>
      <c r="D25" s="47"/>
    </row>
    <row r="26" spans="1:10" ht="17.25" thickBot="1" x14ac:dyDescent="0.35">
      <c r="A26" s="29" t="s">
        <v>95</v>
      </c>
      <c r="B26" s="38">
        <f>SUM(B17:B24)</f>
        <v>506.3</v>
      </c>
      <c r="C26" s="18">
        <f t="shared" ref="C26:D26" si="1">SUM(C17:C24)</f>
        <v>418.60239999999999</v>
      </c>
      <c r="D26" s="43">
        <f t="shared" si="1"/>
        <v>8.1729000000000021</v>
      </c>
    </row>
  </sheetData>
  <mergeCells count="5">
    <mergeCell ref="A3:D3"/>
    <mergeCell ref="A15:D15"/>
    <mergeCell ref="F9:H9"/>
    <mergeCell ref="I9:K11"/>
    <mergeCell ref="A1:K1"/>
  </mergeCells>
  <phoneticPr fontId="1" type="noConversion"/>
  <pageMargins left="0.7" right="0.7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4E2E-38CF-49D9-BAA7-E512F5545535}">
  <dimension ref="A1:N36"/>
  <sheetViews>
    <sheetView view="pageBreakPreview" zoomScaleNormal="100" zoomScaleSheetLayoutView="100" workbookViewId="0">
      <selection activeCell="H22" sqref="H21:H22"/>
    </sheetView>
  </sheetViews>
  <sheetFormatPr defaultRowHeight="16.5" x14ac:dyDescent="0.3"/>
  <cols>
    <col min="2" max="3" width="15.625" customWidth="1"/>
    <col min="4" max="4" width="21.625" customWidth="1"/>
    <col min="5" max="12" width="15.625" customWidth="1"/>
  </cols>
  <sheetData>
    <row r="1" spans="1:14" x14ac:dyDescent="0.3">
      <c r="D1" t="s">
        <v>233</v>
      </c>
    </row>
    <row r="2" spans="1:14" x14ac:dyDescent="0.3">
      <c r="D2" t="str">
        <f>CCRO표지!C18</f>
        <v>Suez AG8040F 400 FR</v>
      </c>
    </row>
    <row r="3" spans="1:14" ht="17.25" thickBot="1" x14ac:dyDescent="0.35"/>
    <row r="4" spans="1:14" ht="17.25" thickTop="1" x14ac:dyDescent="0.3">
      <c r="B4" s="196" t="s">
        <v>214</v>
      </c>
      <c r="C4" s="198" t="s">
        <v>215</v>
      </c>
      <c r="D4" s="198" t="s">
        <v>216</v>
      </c>
      <c r="E4" s="112" t="s">
        <v>27</v>
      </c>
      <c r="F4" s="112" t="s">
        <v>99</v>
      </c>
      <c r="G4" s="112" t="s">
        <v>217</v>
      </c>
      <c r="H4" s="112" t="s">
        <v>218</v>
      </c>
      <c r="I4" s="112" t="s">
        <v>221</v>
      </c>
      <c r="J4" s="112" t="s">
        <v>222</v>
      </c>
      <c r="K4" s="112" t="s">
        <v>219</v>
      </c>
      <c r="L4" s="113" t="s">
        <v>220</v>
      </c>
    </row>
    <row r="5" spans="1:14" ht="15.75" customHeight="1" thickBot="1" x14ac:dyDescent="0.35">
      <c r="B5" s="197"/>
      <c r="C5" s="199"/>
      <c r="D5" s="199"/>
      <c r="E5" s="114" t="s">
        <v>223</v>
      </c>
      <c r="F5" s="114" t="s">
        <v>224</v>
      </c>
      <c r="G5" s="114" t="s">
        <v>225</v>
      </c>
      <c r="H5" s="114" t="s">
        <v>226</v>
      </c>
      <c r="I5" s="114" t="s">
        <v>224</v>
      </c>
      <c r="J5" s="114" t="s">
        <v>224</v>
      </c>
      <c r="K5" s="114" t="s">
        <v>227</v>
      </c>
      <c r="L5" s="115" t="s">
        <v>226</v>
      </c>
      <c r="N5">
        <f>CCRO표지!K6</f>
        <v>10</v>
      </c>
    </row>
    <row r="6" spans="1:14" x14ac:dyDescent="0.3">
      <c r="A6" t="s">
        <v>228</v>
      </c>
      <c r="B6" s="116" t="str">
        <f>IF(CCRO표지!H19&gt;=1,A6,A7)</f>
        <v>PF</v>
      </c>
      <c r="C6" s="117">
        <f>IF(CCRO표지!H19&gt;=1,1,A7)</f>
        <v>1</v>
      </c>
      <c r="D6" s="117" t="str">
        <f>IF(CCRO표지!H19&gt;=1,D2,D1)</f>
        <v>Suez AG8040F 400 FR</v>
      </c>
      <c r="E6" s="118"/>
      <c r="F6" s="118">
        <f>CCRO표지!K7</f>
        <v>10.85</v>
      </c>
      <c r="G6" s="117"/>
      <c r="H6" s="118">
        <f>CCRO표지!C8</f>
        <v>579.27599999999995</v>
      </c>
      <c r="I6" s="118">
        <f>CCRO표지!K9</f>
        <v>9.7650000000000006</v>
      </c>
      <c r="J6" s="118"/>
      <c r="K6" s="117"/>
      <c r="L6" s="119"/>
      <c r="N6" s="5">
        <f>H6</f>
        <v>579.27599999999995</v>
      </c>
    </row>
    <row r="7" spans="1:14" x14ac:dyDescent="0.3">
      <c r="A7" t="s">
        <v>233</v>
      </c>
      <c r="B7" s="120" t="str">
        <f>IF(CCRO표지!H19&gt;=2,A6,A7)</f>
        <v>PF</v>
      </c>
      <c r="C7" s="121">
        <f>IF(CCRO표지!H19&gt;=2,2,A7)</f>
        <v>2</v>
      </c>
      <c r="D7" s="121" t="str">
        <f>IF(CCRO표지!H19&gt;=2,D2,D1)</f>
        <v>Suez AG8040F 400 FR</v>
      </c>
      <c r="E7" s="121"/>
      <c r="F7" s="121"/>
      <c r="G7" s="121"/>
      <c r="H7" s="121"/>
      <c r="I7" s="121"/>
      <c r="J7" s="121"/>
      <c r="K7" s="121"/>
      <c r="L7" s="122"/>
    </row>
    <row r="8" spans="1:14" x14ac:dyDescent="0.3">
      <c r="B8" s="120" t="str">
        <f>IF(CCRO표지!H19&gt;=3,A6,A7)</f>
        <v>PF</v>
      </c>
      <c r="C8" s="121">
        <f>IF(CCRO표지!H19&gt;=3,3,A7)</f>
        <v>3</v>
      </c>
      <c r="D8" s="121" t="str">
        <f>IF(CCRO표지!H19&gt;=3,D2,D1)</f>
        <v>Suez AG8040F 400 FR</v>
      </c>
      <c r="E8" s="121"/>
      <c r="F8" s="121"/>
      <c r="G8" s="121"/>
      <c r="H8" s="121"/>
      <c r="I8" s="121"/>
      <c r="J8" s="121"/>
      <c r="K8" s="121"/>
      <c r="L8" s="122"/>
    </row>
    <row r="9" spans="1:14" x14ac:dyDescent="0.3">
      <c r="B9" s="120" t="str">
        <f>IF(CCRO표지!H19&gt;=4,A6,A7)</f>
        <v>(-)</v>
      </c>
      <c r="C9" s="121" t="str">
        <f>IF(CCRO표지!H19&gt;=4,4,A7)</f>
        <v>(-)</v>
      </c>
      <c r="D9" s="121" t="str">
        <f>IF(CCRO표지!H19&gt;=4,D2,D1)</f>
        <v>(-)</v>
      </c>
      <c r="E9" s="121"/>
      <c r="F9" s="121"/>
      <c r="G9" s="121"/>
      <c r="H9" s="121"/>
      <c r="I9" s="121"/>
      <c r="J9" s="121"/>
      <c r="K9" s="121"/>
      <c r="L9" s="122"/>
    </row>
    <row r="10" spans="1:14" x14ac:dyDescent="0.3">
      <c r="B10" s="120" t="str">
        <f>IF(CCRO표지!H19&gt;=5,A6,A7)</f>
        <v>(-)</v>
      </c>
      <c r="C10" s="121" t="str">
        <f>IF(CCRO표지!H19&gt;=5,5,A7)</f>
        <v>(-)</v>
      </c>
      <c r="D10" s="121" t="str">
        <f>IF(CCRO표지!H19&gt;=5,D2,D1)</f>
        <v>(-)</v>
      </c>
      <c r="E10" s="121"/>
      <c r="F10" s="121"/>
      <c r="G10" s="121"/>
      <c r="H10" s="121"/>
      <c r="I10" s="121"/>
      <c r="J10" s="121"/>
      <c r="K10" s="121"/>
      <c r="L10" s="122"/>
    </row>
    <row r="11" spans="1:14" ht="17.25" thickBot="1" x14ac:dyDescent="0.35">
      <c r="B11" s="128" t="str">
        <f>IF(CCRO표지!H19&gt;=6,A6,A7)</f>
        <v>(-)</v>
      </c>
      <c r="C11" s="129" t="str">
        <f>IF(CCRO표지!H19&gt;=6,6,A7)</f>
        <v>(-)</v>
      </c>
      <c r="D11" s="129" t="str">
        <f>IF(CCRO표지!H19&gt;=6,D2,D1)</f>
        <v>(-)</v>
      </c>
      <c r="E11" s="129"/>
      <c r="F11" s="129"/>
      <c r="G11" s="129"/>
      <c r="H11" s="129"/>
      <c r="I11" s="129"/>
      <c r="J11" s="129"/>
      <c r="K11" s="129"/>
      <c r="L11" s="130"/>
    </row>
    <row r="12" spans="1:14" ht="17.25" thickTop="1" x14ac:dyDescent="0.3">
      <c r="A12" t="s">
        <v>229</v>
      </c>
      <c r="B12" s="126" t="str">
        <f>IF(CCRO표지!H19&gt;=1,A12,A7)</f>
        <v>CC1</v>
      </c>
      <c r="C12" s="88">
        <f>IF(CCRO표지!H19&gt;=1,1,A7)</f>
        <v>1</v>
      </c>
      <c r="D12" s="88" t="str">
        <f>IF(CCRO표지!H19&gt;=1,D2,D1)</f>
        <v>Suez AG8040F 400 FR</v>
      </c>
      <c r="E12" s="88"/>
      <c r="F12" s="88"/>
      <c r="G12" s="88"/>
      <c r="H12" s="88"/>
      <c r="I12" s="88"/>
      <c r="J12" s="88"/>
      <c r="K12" s="88"/>
      <c r="L12" s="127"/>
      <c r="N12" s="5">
        <f>CCRO표지!O6</f>
        <v>68.480181772279735</v>
      </c>
    </row>
    <row r="13" spans="1:14" x14ac:dyDescent="0.3">
      <c r="B13" s="131" t="str">
        <f>IF(CCRO표지!H19&gt;=2,A12,A7)</f>
        <v>CC1</v>
      </c>
      <c r="C13" s="121">
        <f>IF(CCRO표지!H19&gt;=2,2,A7)</f>
        <v>2</v>
      </c>
      <c r="D13" s="132" t="str">
        <f>IF(CCRO표지!H19&gt;=2,D2,D1)</f>
        <v>Suez AG8040F 400 FR</v>
      </c>
      <c r="E13" s="132"/>
      <c r="F13" s="132"/>
      <c r="G13" s="132"/>
      <c r="H13" s="132"/>
      <c r="I13" s="132"/>
      <c r="J13" s="132"/>
      <c r="K13" s="132"/>
      <c r="L13" s="133"/>
    </row>
    <row r="14" spans="1:14" x14ac:dyDescent="0.3">
      <c r="B14" s="120" t="str">
        <f>IF(CCRO표지!H19&gt;=3,A12,A7)</f>
        <v>CC1</v>
      </c>
      <c r="C14" s="121">
        <f>IF(CCRO표지!H19&gt;=3,3,A7)</f>
        <v>3</v>
      </c>
      <c r="D14" s="121" t="str">
        <f>IF(CCRO표지!H19&gt;=3,D2,D1)</f>
        <v>Suez AG8040F 400 FR</v>
      </c>
      <c r="E14" s="121"/>
      <c r="F14" s="121"/>
      <c r="G14" s="121"/>
      <c r="H14" s="121"/>
      <c r="I14" s="121"/>
      <c r="J14" s="121"/>
      <c r="K14" s="121"/>
      <c r="L14" s="122"/>
    </row>
    <row r="15" spans="1:14" x14ac:dyDescent="0.3">
      <c r="B15" s="120" t="str">
        <f>IF(CCRO표지!H19&gt;=4,A12,A7)</f>
        <v>(-)</v>
      </c>
      <c r="C15" s="121" t="str">
        <f>IF(CCRO표지!H19&gt;=4,4,A7)</f>
        <v>(-)</v>
      </c>
      <c r="D15" s="121" t="str">
        <f>IF(CCRO표지!H19&gt;=4,D2,D1)</f>
        <v>(-)</v>
      </c>
      <c r="E15" s="121"/>
      <c r="F15" s="121"/>
      <c r="G15" s="121"/>
      <c r="H15" s="121"/>
      <c r="I15" s="121"/>
      <c r="J15" s="121"/>
      <c r="K15" s="121"/>
      <c r="L15" s="122"/>
    </row>
    <row r="16" spans="1:14" x14ac:dyDescent="0.3">
      <c r="B16" s="120" t="str">
        <f>IF(CCRO표지!H19&gt;=5,A12,A7)</f>
        <v>(-)</v>
      </c>
      <c r="C16" s="121" t="str">
        <f>IF(CCRO표지!H19&gt;=5,5,A7)</f>
        <v>(-)</v>
      </c>
      <c r="D16" s="121" t="str">
        <f>IF(CCRO표지!H19&gt;=5,D2,D1)</f>
        <v>(-)</v>
      </c>
      <c r="E16" s="121"/>
      <c r="F16" s="121"/>
      <c r="G16" s="121"/>
      <c r="H16" s="121"/>
      <c r="I16" s="121"/>
      <c r="J16" s="121"/>
      <c r="K16" s="121"/>
      <c r="L16" s="122"/>
    </row>
    <row r="17" spans="1:12" ht="17.25" thickBot="1" x14ac:dyDescent="0.35">
      <c r="B17" s="123" t="str">
        <f>IF(CCRO표지!H19&gt;=6,A12,A7)</f>
        <v>(-)</v>
      </c>
      <c r="C17" s="124" t="str">
        <f>IF(CCRO표지!H19&gt;=6,6,A7)</f>
        <v>(-)</v>
      </c>
      <c r="D17" s="124" t="str">
        <f>IF(CCRO표지!H19&gt;=6,D2,D1)</f>
        <v>(-)</v>
      </c>
      <c r="E17" s="124"/>
      <c r="F17" s="124"/>
      <c r="G17" s="124"/>
      <c r="H17" s="124"/>
      <c r="I17" s="124"/>
      <c r="J17" s="124"/>
      <c r="K17" s="124"/>
      <c r="L17" s="125"/>
    </row>
    <row r="18" spans="1:12" ht="17.25" thickTop="1" x14ac:dyDescent="0.3">
      <c r="A18" t="s">
        <v>230</v>
      </c>
      <c r="B18" s="126" t="str">
        <f>IF(CCRO표지!H19&gt;=1,A18,A7)</f>
        <v>CC2</v>
      </c>
      <c r="C18" s="132">
        <f>IF(CCRO표지!H19&gt;=1,1,A7)</f>
        <v>1</v>
      </c>
      <c r="D18" s="88" t="str">
        <f>IF(CCRO표지!H19&gt;=1,D2,D1)</f>
        <v>Suez AG8040F 400 FR</v>
      </c>
      <c r="E18" s="88"/>
      <c r="F18" s="88"/>
      <c r="G18" s="88"/>
      <c r="H18" s="88"/>
      <c r="I18" s="88"/>
      <c r="J18" s="88"/>
      <c r="K18" s="88"/>
      <c r="L18" s="127"/>
    </row>
    <row r="19" spans="1:12" x14ac:dyDescent="0.3">
      <c r="B19" s="131" t="str">
        <f>IF(CCRO표지!H19&gt;=2,A18,A7)</f>
        <v>CC2</v>
      </c>
      <c r="C19" s="121">
        <f>IF(CCRO표지!H19&gt;=2,2,A7)</f>
        <v>2</v>
      </c>
      <c r="D19" s="121" t="str">
        <f>IF(CCRO표지!H19&gt;=2,D2,D1)</f>
        <v>Suez AG8040F 400 FR</v>
      </c>
      <c r="E19" s="121"/>
      <c r="F19" s="121"/>
      <c r="G19" s="121"/>
      <c r="H19" s="121"/>
      <c r="I19" s="121"/>
      <c r="J19" s="121"/>
      <c r="K19" s="121"/>
      <c r="L19" s="122"/>
    </row>
    <row r="20" spans="1:12" x14ac:dyDescent="0.3">
      <c r="B20" s="120" t="str">
        <f>IF(CCRO표지!H19&gt;=3,A18,A7)</f>
        <v>CC2</v>
      </c>
      <c r="C20" s="121">
        <f>IF(CCRO표지!H19&gt;=3,3,A7)</f>
        <v>3</v>
      </c>
      <c r="D20" s="121" t="str">
        <f>IF(CCRO표지!H19&gt;=3,D2,D1)</f>
        <v>Suez AG8040F 400 FR</v>
      </c>
      <c r="E20" s="121"/>
      <c r="F20" s="121"/>
      <c r="G20" s="121"/>
      <c r="H20" s="121"/>
      <c r="I20" s="121"/>
      <c r="J20" s="121"/>
      <c r="K20" s="121"/>
      <c r="L20" s="122"/>
    </row>
    <row r="21" spans="1:12" x14ac:dyDescent="0.3">
      <c r="B21" s="120" t="str">
        <f>IF(CCRO표지!H19&gt;=4,A18,A7)</f>
        <v>(-)</v>
      </c>
      <c r="C21" s="121" t="str">
        <f>IF(CCRO표지!H19&gt;=4,4,A7)</f>
        <v>(-)</v>
      </c>
      <c r="D21" s="121" t="str">
        <f>IF(CCRO표지!H19&gt;=4,D2,D1)</f>
        <v>(-)</v>
      </c>
      <c r="E21" s="121"/>
      <c r="F21" s="121"/>
      <c r="G21" s="121"/>
      <c r="H21" s="121"/>
      <c r="I21" s="121"/>
      <c r="J21" s="121"/>
      <c r="K21" s="121"/>
      <c r="L21" s="122"/>
    </row>
    <row r="22" spans="1:12" x14ac:dyDescent="0.3">
      <c r="B22" s="120" t="str">
        <f>IF(CCRO표지!H19&gt;=5,A18,A7)</f>
        <v>(-)</v>
      </c>
      <c r="C22" s="121" t="str">
        <f>IF(CCRO표지!H19&gt;=5,5,A7)</f>
        <v>(-)</v>
      </c>
      <c r="D22" s="121" t="str">
        <f>IF(CCRO표지!H19&gt;=5,D2,D1)</f>
        <v>(-)</v>
      </c>
      <c r="E22" s="121"/>
      <c r="F22" s="121"/>
      <c r="G22" s="121"/>
      <c r="H22" s="121"/>
      <c r="I22" s="121"/>
      <c r="J22" s="121"/>
      <c r="K22" s="121"/>
      <c r="L22" s="122"/>
    </row>
    <row r="23" spans="1:12" ht="17.25" thickBot="1" x14ac:dyDescent="0.35">
      <c r="B23" s="123" t="str">
        <f>IF(CCRO표지!H19&gt;=6,A18,A7)</f>
        <v>(-)</v>
      </c>
      <c r="C23" s="129" t="str">
        <f>IF(CCRO표지!H19&gt;=6,6,A7)</f>
        <v>(-)</v>
      </c>
      <c r="D23" s="129" t="str">
        <f>IF(CCRO표지!H19&gt;=6,D2,D1)</f>
        <v>(-)</v>
      </c>
      <c r="E23" s="129"/>
      <c r="F23" s="129"/>
      <c r="G23" s="129"/>
      <c r="H23" s="129"/>
      <c r="I23" s="129"/>
      <c r="J23" s="129"/>
      <c r="K23" s="129"/>
      <c r="L23" s="130"/>
    </row>
    <row r="24" spans="1:12" ht="17.25" thickTop="1" x14ac:dyDescent="0.3">
      <c r="A24" t="s">
        <v>231</v>
      </c>
      <c r="B24" s="126" t="str">
        <f>IF(CCRO표지!H19&gt;=1,A24,A7)</f>
        <v>CC3</v>
      </c>
      <c r="C24" s="88">
        <f>IF(CCRO표지!H19&gt;=1,1,A7)</f>
        <v>1</v>
      </c>
      <c r="D24" s="88" t="str">
        <f>IF(CCRO표지!H19&gt;=1,D2,D1)</f>
        <v>Suez AG8040F 400 FR</v>
      </c>
      <c r="E24" s="88"/>
      <c r="F24" s="88"/>
      <c r="G24" s="88"/>
      <c r="H24" s="88"/>
      <c r="I24" s="88"/>
      <c r="J24" s="88"/>
      <c r="K24" s="88"/>
      <c r="L24" s="127"/>
    </row>
    <row r="25" spans="1:12" x14ac:dyDescent="0.3">
      <c r="B25" s="131" t="str">
        <f>IF(CCRO표지!H19&gt;=2,A24,A7)</f>
        <v>CC3</v>
      </c>
      <c r="C25" s="121">
        <f>IF(CCRO표지!H19&gt;=2,2,A7)</f>
        <v>2</v>
      </c>
      <c r="D25" s="121" t="str">
        <f>IF(CCRO표지!H19&gt;=2,D2,D1)</f>
        <v>Suez AG8040F 400 FR</v>
      </c>
      <c r="E25" s="121"/>
      <c r="F25" s="121"/>
      <c r="G25" s="121"/>
      <c r="H25" s="121"/>
      <c r="I25" s="121"/>
      <c r="J25" s="121"/>
      <c r="K25" s="121"/>
      <c r="L25" s="122"/>
    </row>
    <row r="26" spans="1:12" x14ac:dyDescent="0.3">
      <c r="B26" s="120" t="str">
        <f>IF(CCRO표지!H19&gt;=3,A24,A7)</f>
        <v>CC3</v>
      </c>
      <c r="C26" s="121">
        <f>IF(CCRO표지!H19&gt;=3,3,A7)</f>
        <v>3</v>
      </c>
      <c r="D26" s="121" t="str">
        <f>IF(CCRO표지!H19&gt;=3,D2,D1)</f>
        <v>Suez AG8040F 400 FR</v>
      </c>
      <c r="E26" s="121"/>
      <c r="F26" s="121"/>
      <c r="G26" s="121"/>
      <c r="H26" s="121"/>
      <c r="I26" s="121"/>
      <c r="J26" s="121"/>
      <c r="K26" s="121"/>
      <c r="L26" s="122"/>
    </row>
    <row r="27" spans="1:12" x14ac:dyDescent="0.3">
      <c r="B27" s="120" t="str">
        <f>IF(CCRO표지!H19&gt;=4,A24,A7)</f>
        <v>(-)</v>
      </c>
      <c r="C27" s="121" t="str">
        <f>IF(CCRO표지!H19&gt;=4,4,A7)</f>
        <v>(-)</v>
      </c>
      <c r="D27" s="121" t="str">
        <f>IF(CCRO표지!H19&gt;=4,D2,D1)</f>
        <v>(-)</v>
      </c>
      <c r="E27" s="121"/>
      <c r="F27" s="121"/>
      <c r="G27" s="121"/>
      <c r="H27" s="121"/>
      <c r="I27" s="121"/>
      <c r="J27" s="121"/>
      <c r="K27" s="121"/>
      <c r="L27" s="122"/>
    </row>
    <row r="28" spans="1:12" x14ac:dyDescent="0.3">
      <c r="B28" s="120" t="str">
        <f>IF(CCRO표지!H19&gt;=5,A24,A7)</f>
        <v>(-)</v>
      </c>
      <c r="C28" s="121" t="str">
        <f>IF(CCRO표지!H19&gt;=5,5,A7)</f>
        <v>(-)</v>
      </c>
      <c r="D28" s="121" t="str">
        <f>IF(CCRO표지!H19&gt;=5,D2,D1)</f>
        <v>(-)</v>
      </c>
      <c r="E28" s="121"/>
      <c r="F28" s="121"/>
      <c r="G28" s="121"/>
      <c r="H28" s="121"/>
      <c r="I28" s="121"/>
      <c r="J28" s="121"/>
      <c r="K28" s="121"/>
      <c r="L28" s="122"/>
    </row>
    <row r="29" spans="1:12" ht="17.25" thickBot="1" x14ac:dyDescent="0.35">
      <c r="B29" s="123" t="str">
        <f>IF(CCRO표지!H19&gt;=6,A24,A7)</f>
        <v>(-)</v>
      </c>
      <c r="C29" s="124" t="str">
        <f>IF(CCRO표지!H19&gt;=6,6,A7)</f>
        <v>(-)</v>
      </c>
      <c r="D29" s="124" t="str">
        <f>IF(CCRO표지!H19&gt;=6,D2,D1)</f>
        <v>(-)</v>
      </c>
      <c r="E29" s="124"/>
      <c r="F29" s="124"/>
      <c r="G29" s="124"/>
      <c r="H29" s="124"/>
      <c r="I29" s="124"/>
      <c r="J29" s="124"/>
      <c r="K29" s="124"/>
      <c r="L29" s="125"/>
    </row>
    <row r="30" spans="1:12" ht="17.25" thickTop="1" x14ac:dyDescent="0.3">
      <c r="A30" t="s">
        <v>232</v>
      </c>
      <c r="B30" s="126" t="str">
        <f>IF(CCRO표지!H19&gt;=1,A30,A7)</f>
        <v>CC4</v>
      </c>
      <c r="C30" s="132">
        <f>IF(CCRO표지!H19&gt;=1,1,A7)</f>
        <v>1</v>
      </c>
      <c r="D30" s="132" t="str">
        <f>IF(CCRO표지!H19&gt;=1,D2,D1)</f>
        <v>Suez AG8040F 400 FR</v>
      </c>
      <c r="E30" s="132"/>
      <c r="F30" s="132"/>
      <c r="G30" s="132"/>
      <c r="H30" s="132"/>
      <c r="I30" s="132"/>
      <c r="J30" s="132"/>
      <c r="K30" s="132"/>
      <c r="L30" s="133"/>
    </row>
    <row r="31" spans="1:12" x14ac:dyDescent="0.3">
      <c r="B31" s="131" t="str">
        <f>IF(CCRO표지!H19&gt;=2,A30,A7)</f>
        <v>CC4</v>
      </c>
      <c r="C31" s="121">
        <f>IF(CCRO표지!H19&gt;=2,2,A7)</f>
        <v>2</v>
      </c>
      <c r="D31" s="121" t="str">
        <f>IF(CCRO표지!H19&gt;=2,D2,D1)</f>
        <v>Suez AG8040F 400 FR</v>
      </c>
      <c r="E31" s="121"/>
      <c r="F31" s="121"/>
      <c r="G31" s="121"/>
      <c r="H31" s="121"/>
      <c r="I31" s="121"/>
      <c r="J31" s="121"/>
      <c r="K31" s="121"/>
      <c r="L31" s="122"/>
    </row>
    <row r="32" spans="1:12" x14ac:dyDescent="0.3">
      <c r="B32" s="120" t="str">
        <f>IF(CCRO표지!H19&gt;=3,A30,A7)</f>
        <v>CC4</v>
      </c>
      <c r="C32" s="121">
        <f>IF(CCRO표지!H19&gt;=3,3,A7)</f>
        <v>3</v>
      </c>
      <c r="D32" s="121" t="str">
        <f>IF(CCRO표지!H19&gt;=3,D2,D1)</f>
        <v>Suez AG8040F 400 FR</v>
      </c>
      <c r="E32" s="121"/>
      <c r="F32" s="121"/>
      <c r="G32" s="121"/>
      <c r="H32" s="121"/>
      <c r="I32" s="121"/>
      <c r="J32" s="121"/>
      <c r="K32" s="121"/>
      <c r="L32" s="122"/>
    </row>
    <row r="33" spans="2:12" x14ac:dyDescent="0.3">
      <c r="B33" s="120" t="str">
        <f>IF(CCRO표지!H19&gt;=4,A30,A7)</f>
        <v>(-)</v>
      </c>
      <c r="C33" s="121" t="str">
        <f>IF(CCRO표지!H19&gt;=4,4,A7)</f>
        <v>(-)</v>
      </c>
      <c r="D33" s="121" t="str">
        <f>IF(CCRO표지!H19&gt;=4,D2,D1)</f>
        <v>(-)</v>
      </c>
      <c r="E33" s="121"/>
      <c r="F33" s="121"/>
      <c r="G33" s="121"/>
      <c r="H33" s="121"/>
      <c r="I33" s="121"/>
      <c r="J33" s="121"/>
      <c r="K33" s="121"/>
      <c r="L33" s="122"/>
    </row>
    <row r="34" spans="2:12" x14ac:dyDescent="0.3">
      <c r="B34" s="120" t="str">
        <f>IF(CCRO표지!H19&gt;=5,A30,A7)</f>
        <v>(-)</v>
      </c>
      <c r="C34" s="121" t="str">
        <f>IF(CCRO표지!H19&gt;=5,5,A7)</f>
        <v>(-)</v>
      </c>
      <c r="D34" s="121" t="str">
        <f>IF(CCRO표지!H19&gt;=5,D2,D1)</f>
        <v>(-)</v>
      </c>
      <c r="E34" s="121"/>
      <c r="F34" s="121"/>
      <c r="G34" s="121"/>
      <c r="H34" s="121"/>
      <c r="I34" s="121"/>
      <c r="J34" s="121"/>
      <c r="K34" s="121"/>
      <c r="L34" s="122"/>
    </row>
    <row r="35" spans="2:12" ht="17.25" thickBot="1" x14ac:dyDescent="0.35">
      <c r="B35" s="123" t="str">
        <f>IF(CCRO표지!H19&gt;=6,A30,A7)</f>
        <v>(-)</v>
      </c>
      <c r="C35" s="129" t="str">
        <f>IF(CCRO표지!H19&gt;=6,6,A7)</f>
        <v>(-)</v>
      </c>
      <c r="D35" s="121" t="str">
        <f>IF(CCRO표지!H19&gt;=6,D2,D1)</f>
        <v>(-)</v>
      </c>
      <c r="E35" s="121"/>
      <c r="F35" s="121"/>
      <c r="G35" s="121"/>
      <c r="H35" s="121"/>
      <c r="I35" s="121"/>
      <c r="J35" s="121"/>
      <c r="K35" s="121"/>
      <c r="L35" s="122"/>
    </row>
    <row r="36" spans="2:12" ht="17.25" thickTop="1" x14ac:dyDescent="0.3"/>
  </sheetData>
  <mergeCells count="3">
    <mergeCell ref="B4:B5"/>
    <mergeCell ref="C4:C5"/>
    <mergeCell ref="D4:D5"/>
  </mergeCells>
  <phoneticPr fontId="1" type="noConversion"/>
  <pageMargins left="0.7" right="0.7" top="0.75" bottom="0.75" header="0.3" footer="0.3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B10E-7AE0-47EA-B729-CDF48ECE087C}">
  <sheetPr>
    <pageSetUpPr fitToPage="1"/>
  </sheetPr>
  <dimension ref="A1:S25"/>
  <sheetViews>
    <sheetView view="pageBreakPreview" zoomScale="70" zoomScaleNormal="100" zoomScaleSheetLayoutView="70" workbookViewId="0">
      <pane ySplit="4" topLeftCell="A5" activePane="bottomLeft" state="frozen"/>
      <selection pane="bottomLeft" activeCell="I12" sqref="I12"/>
    </sheetView>
  </sheetViews>
  <sheetFormatPr defaultRowHeight="16.5" x14ac:dyDescent="0.3"/>
  <cols>
    <col min="2" max="2" width="16.5" customWidth="1"/>
    <col min="14" max="15" width="12.625" customWidth="1"/>
    <col min="18" max="18" width="12.25" customWidth="1"/>
  </cols>
  <sheetData>
    <row r="1" spans="1:19" ht="26.25" x14ac:dyDescent="0.3">
      <c r="B1" s="213" t="s">
        <v>17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</row>
    <row r="2" spans="1:19" ht="27" thickBot="1" x14ac:dyDescent="0.35">
      <c r="B2" s="214" t="s">
        <v>211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</row>
    <row r="3" spans="1:19" ht="66" customHeight="1" thickTop="1" thickBot="1" x14ac:dyDescent="0.35">
      <c r="B3" s="80" t="s">
        <v>113</v>
      </c>
      <c r="C3" s="81" t="s">
        <v>114</v>
      </c>
      <c r="D3" s="220" t="s">
        <v>115</v>
      </c>
      <c r="E3" s="220"/>
      <c r="F3" s="220" t="s">
        <v>116</v>
      </c>
      <c r="G3" s="220"/>
      <c r="H3" s="220" t="s">
        <v>117</v>
      </c>
      <c r="I3" s="220"/>
      <c r="J3" s="220"/>
      <c r="K3" s="220" t="s">
        <v>118</v>
      </c>
      <c r="L3" s="220"/>
      <c r="M3" s="220"/>
      <c r="N3" s="221" t="s">
        <v>119</v>
      </c>
      <c r="O3" s="221"/>
      <c r="P3" s="81" t="s">
        <v>120</v>
      </c>
      <c r="Q3" s="82" t="s">
        <v>121</v>
      </c>
      <c r="R3" s="81" t="s">
        <v>209</v>
      </c>
      <c r="S3" s="83" t="s">
        <v>210</v>
      </c>
    </row>
    <row r="4" spans="1:19" ht="28.5" customHeight="1" thickBot="1" x14ac:dyDescent="0.35">
      <c r="B4" s="84"/>
      <c r="C4" s="85" t="s">
        <v>122</v>
      </c>
      <c r="D4" s="86" t="s">
        <v>42</v>
      </c>
      <c r="E4" s="86" t="s">
        <v>123</v>
      </c>
      <c r="F4" s="86" t="s">
        <v>42</v>
      </c>
      <c r="G4" s="86" t="s">
        <v>124</v>
      </c>
      <c r="H4" s="86" t="s">
        <v>15</v>
      </c>
      <c r="I4" s="86" t="s">
        <v>125</v>
      </c>
      <c r="J4" s="86" t="s">
        <v>126</v>
      </c>
      <c r="K4" s="86" t="s">
        <v>15</v>
      </c>
      <c r="L4" s="86" t="s">
        <v>125</v>
      </c>
      <c r="M4" s="86" t="s">
        <v>126</v>
      </c>
      <c r="N4" s="86" t="s">
        <v>127</v>
      </c>
      <c r="O4" s="86" t="s">
        <v>128</v>
      </c>
      <c r="P4" s="86" t="s">
        <v>28</v>
      </c>
      <c r="Q4" s="86" t="s">
        <v>122</v>
      </c>
      <c r="R4" s="86" t="s">
        <v>28</v>
      </c>
      <c r="S4" s="87" t="s">
        <v>129</v>
      </c>
    </row>
    <row r="5" spans="1:19" ht="24.95" customHeight="1" thickTop="1" x14ac:dyDescent="0.3">
      <c r="B5" s="225" t="s">
        <v>130</v>
      </c>
      <c r="C5" s="223" t="s">
        <v>131</v>
      </c>
      <c r="D5" s="222" t="s">
        <v>132</v>
      </c>
      <c r="E5" s="222" t="s">
        <v>133</v>
      </c>
      <c r="F5" s="222" t="s">
        <v>134</v>
      </c>
      <c r="G5" s="222" t="s">
        <v>135</v>
      </c>
      <c r="H5" s="88">
        <v>8</v>
      </c>
      <c r="I5" s="89" t="s">
        <v>136</v>
      </c>
      <c r="J5" s="89" t="s">
        <v>138</v>
      </c>
      <c r="K5" s="88">
        <v>8</v>
      </c>
      <c r="L5" s="89" t="s">
        <v>140</v>
      </c>
      <c r="M5" s="89" t="s">
        <v>142</v>
      </c>
      <c r="N5" s="222" t="s">
        <v>144</v>
      </c>
      <c r="O5" s="222" t="s">
        <v>145</v>
      </c>
      <c r="P5" s="222" t="s">
        <v>140</v>
      </c>
      <c r="Q5" s="222" t="s">
        <v>146</v>
      </c>
      <c r="R5" s="223">
        <v>13</v>
      </c>
      <c r="S5" s="224" t="s">
        <v>147</v>
      </c>
    </row>
    <row r="6" spans="1:19" ht="24.95" customHeight="1" thickBot="1" x14ac:dyDescent="0.35">
      <c r="B6" s="207"/>
      <c r="C6" s="203"/>
      <c r="D6" s="201"/>
      <c r="E6" s="201"/>
      <c r="F6" s="201"/>
      <c r="G6" s="201"/>
      <c r="H6" s="90">
        <v>4</v>
      </c>
      <c r="I6" s="90" t="s">
        <v>137</v>
      </c>
      <c r="J6" s="90" t="s">
        <v>139</v>
      </c>
      <c r="K6" s="90">
        <v>4</v>
      </c>
      <c r="L6" s="90" t="s">
        <v>141</v>
      </c>
      <c r="M6" s="90" t="s">
        <v>143</v>
      </c>
      <c r="N6" s="201"/>
      <c r="O6" s="201"/>
      <c r="P6" s="201"/>
      <c r="Q6" s="201"/>
      <c r="R6" s="203"/>
      <c r="S6" s="205"/>
    </row>
    <row r="7" spans="1:19" ht="24.95" customHeight="1" x14ac:dyDescent="0.3">
      <c r="A7" t="s">
        <v>212</v>
      </c>
      <c r="B7" s="211" t="s">
        <v>148</v>
      </c>
      <c r="C7" s="202" t="s">
        <v>149</v>
      </c>
      <c r="D7" s="200" t="s">
        <v>150</v>
      </c>
      <c r="E7" s="200" t="s">
        <v>151</v>
      </c>
      <c r="F7" s="200" t="s">
        <v>152</v>
      </c>
      <c r="G7" s="200" t="s">
        <v>153</v>
      </c>
      <c r="H7" s="91">
        <v>8</v>
      </c>
      <c r="I7" s="92" t="s">
        <v>154</v>
      </c>
      <c r="J7" s="92" t="s">
        <v>156</v>
      </c>
      <c r="K7" s="91">
        <v>8</v>
      </c>
      <c r="L7" s="92" t="s">
        <v>158</v>
      </c>
      <c r="M7" s="92" t="s">
        <v>159</v>
      </c>
      <c r="N7" s="200" t="s">
        <v>162</v>
      </c>
      <c r="O7" s="200" t="s">
        <v>163</v>
      </c>
      <c r="P7" s="200" t="s">
        <v>153</v>
      </c>
      <c r="Q7" s="200" t="s">
        <v>146</v>
      </c>
      <c r="R7" s="202">
        <v>10</v>
      </c>
      <c r="S7" s="204" t="s">
        <v>147</v>
      </c>
    </row>
    <row r="8" spans="1:19" ht="24.95" customHeight="1" thickBot="1" x14ac:dyDescent="0.35">
      <c r="A8" t="s">
        <v>213</v>
      </c>
      <c r="B8" s="207"/>
      <c r="C8" s="203"/>
      <c r="D8" s="201"/>
      <c r="E8" s="201"/>
      <c r="F8" s="201"/>
      <c r="G8" s="201"/>
      <c r="H8" s="90">
        <v>4</v>
      </c>
      <c r="I8" s="90" t="s">
        <v>155</v>
      </c>
      <c r="J8" s="90" t="s">
        <v>157</v>
      </c>
      <c r="K8" s="90">
        <v>4</v>
      </c>
      <c r="L8" s="90" t="s">
        <v>160</v>
      </c>
      <c r="M8" s="90" t="s">
        <v>161</v>
      </c>
      <c r="N8" s="201"/>
      <c r="O8" s="201"/>
      <c r="P8" s="201"/>
      <c r="Q8" s="201"/>
      <c r="R8" s="203"/>
      <c r="S8" s="205"/>
    </row>
    <row r="9" spans="1:19" ht="24.95" customHeight="1" x14ac:dyDescent="0.3">
      <c r="B9" s="211" t="s">
        <v>164</v>
      </c>
      <c r="C9" s="202" t="s">
        <v>131</v>
      </c>
      <c r="D9" s="200" t="s">
        <v>132</v>
      </c>
      <c r="E9" s="200" t="s">
        <v>133</v>
      </c>
      <c r="F9" s="200" t="s">
        <v>134</v>
      </c>
      <c r="G9" s="200" t="s">
        <v>135</v>
      </c>
      <c r="H9" s="91">
        <v>8</v>
      </c>
      <c r="I9" s="92" t="s">
        <v>136</v>
      </c>
      <c r="J9" s="92" t="s">
        <v>138</v>
      </c>
      <c r="K9" s="91">
        <v>8</v>
      </c>
      <c r="L9" s="92" t="s">
        <v>140</v>
      </c>
      <c r="M9" s="92" t="s">
        <v>142</v>
      </c>
      <c r="N9" s="200" t="s">
        <v>144</v>
      </c>
      <c r="O9" s="200" t="s">
        <v>145</v>
      </c>
      <c r="P9" s="200" t="s">
        <v>140</v>
      </c>
      <c r="Q9" s="200" t="s">
        <v>146</v>
      </c>
      <c r="R9" s="202">
        <v>13</v>
      </c>
      <c r="S9" s="204" t="s">
        <v>147</v>
      </c>
    </row>
    <row r="10" spans="1:19" ht="24.95" customHeight="1" thickBot="1" x14ac:dyDescent="0.35">
      <c r="B10" s="219"/>
      <c r="C10" s="208"/>
      <c r="D10" s="209"/>
      <c r="E10" s="209"/>
      <c r="F10" s="209"/>
      <c r="G10" s="209"/>
      <c r="H10" s="90">
        <v>4</v>
      </c>
      <c r="I10" s="90" t="s">
        <v>137</v>
      </c>
      <c r="J10" s="90" t="s">
        <v>139</v>
      </c>
      <c r="K10" s="90">
        <v>4</v>
      </c>
      <c r="L10" s="90" t="s">
        <v>165</v>
      </c>
      <c r="M10" s="90" t="s">
        <v>143</v>
      </c>
      <c r="N10" s="209"/>
      <c r="O10" s="209"/>
      <c r="P10" s="209"/>
      <c r="Q10" s="209"/>
      <c r="R10" s="208"/>
      <c r="S10" s="210"/>
    </row>
    <row r="11" spans="1:19" ht="24.95" customHeight="1" x14ac:dyDescent="0.3">
      <c r="B11" s="211" t="s">
        <v>166</v>
      </c>
      <c r="C11" s="202" t="s">
        <v>149</v>
      </c>
      <c r="D11" s="200" t="s">
        <v>150</v>
      </c>
      <c r="E11" s="200" t="s">
        <v>167</v>
      </c>
      <c r="F11" s="200" t="s">
        <v>152</v>
      </c>
      <c r="G11" s="200" t="s">
        <v>153</v>
      </c>
      <c r="H11" s="91">
        <v>8</v>
      </c>
      <c r="I11" s="92" t="s">
        <v>154</v>
      </c>
      <c r="J11" s="92" t="s">
        <v>156</v>
      </c>
      <c r="K11" s="91">
        <v>8</v>
      </c>
      <c r="L11" s="92" t="s">
        <v>158</v>
      </c>
      <c r="M11" s="92" t="s">
        <v>159</v>
      </c>
      <c r="N11" s="200" t="s">
        <v>162</v>
      </c>
      <c r="O11" s="200" t="s">
        <v>163</v>
      </c>
      <c r="P11" s="200" t="s">
        <v>153</v>
      </c>
      <c r="Q11" s="200" t="s">
        <v>146</v>
      </c>
      <c r="R11" s="202">
        <v>10</v>
      </c>
      <c r="S11" s="204" t="s">
        <v>147</v>
      </c>
    </row>
    <row r="12" spans="1:19" ht="24.95" customHeight="1" thickBot="1" x14ac:dyDescent="0.35">
      <c r="B12" s="207"/>
      <c r="C12" s="203"/>
      <c r="D12" s="201"/>
      <c r="E12" s="201"/>
      <c r="F12" s="201"/>
      <c r="G12" s="201"/>
      <c r="H12" s="90">
        <v>4</v>
      </c>
      <c r="I12" s="90" t="s">
        <v>155</v>
      </c>
      <c r="J12" s="90" t="s">
        <v>157</v>
      </c>
      <c r="K12" s="90">
        <v>4</v>
      </c>
      <c r="L12" s="90" t="s">
        <v>160</v>
      </c>
      <c r="M12" s="90" t="s">
        <v>161</v>
      </c>
      <c r="N12" s="201"/>
      <c r="O12" s="201"/>
      <c r="P12" s="201"/>
      <c r="Q12" s="201"/>
      <c r="R12" s="203"/>
      <c r="S12" s="205"/>
    </row>
    <row r="13" spans="1:19" ht="24.95" customHeight="1" x14ac:dyDescent="0.3">
      <c r="B13" s="206" t="s">
        <v>168</v>
      </c>
      <c r="C13" s="208" t="s">
        <v>131</v>
      </c>
      <c r="D13" s="209" t="s">
        <v>169</v>
      </c>
      <c r="E13" s="209" t="s">
        <v>170</v>
      </c>
      <c r="F13" s="209" t="s">
        <v>171</v>
      </c>
      <c r="G13" s="209" t="s">
        <v>161</v>
      </c>
      <c r="H13" s="91">
        <v>8</v>
      </c>
      <c r="I13" s="92" t="s">
        <v>172</v>
      </c>
      <c r="J13" s="92" t="s">
        <v>173</v>
      </c>
      <c r="K13" s="91">
        <v>8</v>
      </c>
      <c r="L13" s="92" t="s">
        <v>161</v>
      </c>
      <c r="M13" s="92" t="s">
        <v>174</v>
      </c>
      <c r="N13" s="209" t="s">
        <v>144</v>
      </c>
      <c r="O13" s="209" t="s">
        <v>145</v>
      </c>
      <c r="P13" s="209" t="s">
        <v>143</v>
      </c>
      <c r="Q13" s="209" t="s">
        <v>146</v>
      </c>
      <c r="R13" s="208">
        <v>18</v>
      </c>
      <c r="S13" s="210" t="s">
        <v>175</v>
      </c>
    </row>
    <row r="14" spans="1:19" ht="24.95" customHeight="1" thickBot="1" x14ac:dyDescent="0.35">
      <c r="B14" s="219"/>
      <c r="C14" s="208"/>
      <c r="D14" s="209"/>
      <c r="E14" s="209"/>
      <c r="F14" s="209"/>
      <c r="G14" s="209"/>
      <c r="H14" s="90">
        <v>4</v>
      </c>
      <c r="I14" s="90" t="s">
        <v>176</v>
      </c>
      <c r="J14" s="90" t="s">
        <v>177</v>
      </c>
      <c r="K14" s="90">
        <v>4</v>
      </c>
      <c r="L14" s="90" t="s">
        <v>165</v>
      </c>
      <c r="M14" s="90" t="s">
        <v>178</v>
      </c>
      <c r="N14" s="209"/>
      <c r="O14" s="209"/>
      <c r="P14" s="209"/>
      <c r="Q14" s="209"/>
      <c r="R14" s="208"/>
      <c r="S14" s="210"/>
    </row>
    <row r="15" spans="1:19" ht="24.95" customHeight="1" x14ac:dyDescent="0.3">
      <c r="B15" s="211" t="s">
        <v>179</v>
      </c>
      <c r="C15" s="202" t="s">
        <v>149</v>
      </c>
      <c r="D15" s="200" t="s">
        <v>180</v>
      </c>
      <c r="E15" s="200" t="s">
        <v>181</v>
      </c>
      <c r="F15" s="200" t="s">
        <v>182</v>
      </c>
      <c r="G15" s="200" t="s">
        <v>158</v>
      </c>
      <c r="H15" s="91">
        <v>8</v>
      </c>
      <c r="I15" s="92" t="s">
        <v>136</v>
      </c>
      <c r="J15" s="92" t="s">
        <v>138</v>
      </c>
      <c r="K15" s="91">
        <v>8</v>
      </c>
      <c r="L15" s="92" t="s">
        <v>161</v>
      </c>
      <c r="M15" s="92" t="s">
        <v>174</v>
      </c>
      <c r="N15" s="200" t="s">
        <v>144</v>
      </c>
      <c r="O15" s="200" t="s">
        <v>145</v>
      </c>
      <c r="P15" s="200" t="s">
        <v>183</v>
      </c>
      <c r="Q15" s="200" t="s">
        <v>146</v>
      </c>
      <c r="R15" s="202">
        <v>15</v>
      </c>
      <c r="S15" s="204" t="s">
        <v>147</v>
      </c>
    </row>
    <row r="16" spans="1:19" ht="24.95" customHeight="1" thickBot="1" x14ac:dyDescent="0.35">
      <c r="B16" s="207"/>
      <c r="C16" s="203"/>
      <c r="D16" s="201"/>
      <c r="E16" s="201"/>
      <c r="F16" s="201"/>
      <c r="G16" s="201"/>
      <c r="H16" s="90">
        <v>4</v>
      </c>
      <c r="I16" s="90" t="s">
        <v>137</v>
      </c>
      <c r="J16" s="90" t="s">
        <v>139</v>
      </c>
      <c r="K16" s="90">
        <v>4</v>
      </c>
      <c r="L16" s="90" t="s">
        <v>141</v>
      </c>
      <c r="M16" s="90" t="s">
        <v>143</v>
      </c>
      <c r="N16" s="201"/>
      <c r="O16" s="201"/>
      <c r="P16" s="201"/>
      <c r="Q16" s="201"/>
      <c r="R16" s="203"/>
      <c r="S16" s="205"/>
    </row>
    <row r="17" spans="2:19" ht="24.95" customHeight="1" x14ac:dyDescent="0.3">
      <c r="B17" s="206" t="s">
        <v>184</v>
      </c>
      <c r="C17" s="208" t="s">
        <v>131</v>
      </c>
      <c r="D17" s="209" t="s">
        <v>185</v>
      </c>
      <c r="E17" s="209" t="s">
        <v>186</v>
      </c>
      <c r="F17" s="209" t="s">
        <v>187</v>
      </c>
      <c r="G17" s="209" t="s">
        <v>135</v>
      </c>
      <c r="H17" s="91">
        <v>8</v>
      </c>
      <c r="I17" s="92" t="s">
        <v>136</v>
      </c>
      <c r="J17" s="92" t="s">
        <v>138</v>
      </c>
      <c r="K17" s="91">
        <v>8</v>
      </c>
      <c r="L17" s="92" t="s">
        <v>161</v>
      </c>
      <c r="M17" s="92" t="s">
        <v>174</v>
      </c>
      <c r="N17" s="209" t="s">
        <v>144</v>
      </c>
      <c r="O17" s="209" t="s">
        <v>145</v>
      </c>
      <c r="P17" s="209" t="s">
        <v>188</v>
      </c>
      <c r="Q17" s="209" t="s">
        <v>146</v>
      </c>
      <c r="R17" s="208">
        <v>8</v>
      </c>
      <c r="S17" s="210" t="s">
        <v>147</v>
      </c>
    </row>
    <row r="18" spans="2:19" ht="24.95" customHeight="1" thickBot="1" x14ac:dyDescent="0.35">
      <c r="B18" s="219"/>
      <c r="C18" s="208"/>
      <c r="D18" s="209"/>
      <c r="E18" s="209"/>
      <c r="F18" s="209"/>
      <c r="G18" s="209"/>
      <c r="H18" s="90">
        <v>4</v>
      </c>
      <c r="I18" s="90" t="s">
        <v>137</v>
      </c>
      <c r="J18" s="90" t="s">
        <v>139</v>
      </c>
      <c r="K18" s="90">
        <v>4</v>
      </c>
      <c r="L18" s="90" t="s">
        <v>141</v>
      </c>
      <c r="M18" s="90" t="s">
        <v>143</v>
      </c>
      <c r="N18" s="209"/>
      <c r="O18" s="209"/>
      <c r="P18" s="209"/>
      <c r="Q18" s="209"/>
      <c r="R18" s="208"/>
      <c r="S18" s="210"/>
    </row>
    <row r="19" spans="2:19" ht="24.95" customHeight="1" x14ac:dyDescent="0.3">
      <c r="B19" s="211" t="s">
        <v>189</v>
      </c>
      <c r="C19" s="202" t="s">
        <v>149</v>
      </c>
      <c r="D19" s="200" t="s">
        <v>169</v>
      </c>
      <c r="E19" s="200" t="s">
        <v>170</v>
      </c>
      <c r="F19" s="200" t="s">
        <v>190</v>
      </c>
      <c r="G19" s="200" t="s">
        <v>191</v>
      </c>
      <c r="H19" s="91">
        <v>8</v>
      </c>
      <c r="I19" s="92" t="s">
        <v>192</v>
      </c>
      <c r="J19" s="92" t="s">
        <v>175</v>
      </c>
      <c r="K19" s="91">
        <v>8</v>
      </c>
      <c r="L19" s="92" t="s">
        <v>158</v>
      </c>
      <c r="M19" s="92" t="s">
        <v>159</v>
      </c>
      <c r="N19" s="200" t="s">
        <v>162</v>
      </c>
      <c r="O19" s="200" t="s">
        <v>163</v>
      </c>
      <c r="P19" s="200" t="s">
        <v>140</v>
      </c>
      <c r="Q19" s="200" t="s">
        <v>146</v>
      </c>
      <c r="R19" s="202">
        <v>6</v>
      </c>
      <c r="S19" s="204" t="s">
        <v>147</v>
      </c>
    </row>
    <row r="20" spans="2:19" ht="24.95" customHeight="1" thickBot="1" x14ac:dyDescent="0.35">
      <c r="B20" s="207"/>
      <c r="C20" s="203"/>
      <c r="D20" s="201"/>
      <c r="E20" s="201"/>
      <c r="F20" s="201"/>
      <c r="G20" s="201"/>
      <c r="H20" s="90">
        <v>4</v>
      </c>
      <c r="I20" s="90" t="s">
        <v>137</v>
      </c>
      <c r="J20" s="90" t="s">
        <v>139</v>
      </c>
      <c r="K20" s="90">
        <v>4</v>
      </c>
      <c r="L20" s="90" t="s">
        <v>162</v>
      </c>
      <c r="M20" s="90" t="s">
        <v>188</v>
      </c>
      <c r="N20" s="201"/>
      <c r="O20" s="201"/>
      <c r="P20" s="201"/>
      <c r="Q20" s="201"/>
      <c r="R20" s="203"/>
      <c r="S20" s="205"/>
    </row>
    <row r="21" spans="2:19" ht="24.95" customHeight="1" x14ac:dyDescent="0.3">
      <c r="B21" s="206" t="s">
        <v>193</v>
      </c>
      <c r="C21" s="208" t="s">
        <v>149</v>
      </c>
      <c r="D21" s="209" t="s">
        <v>169</v>
      </c>
      <c r="E21" s="209" t="s">
        <v>170</v>
      </c>
      <c r="F21" s="209" t="s">
        <v>190</v>
      </c>
      <c r="G21" s="209" t="s">
        <v>191</v>
      </c>
      <c r="H21" s="91">
        <v>8</v>
      </c>
      <c r="I21" s="92" t="s">
        <v>192</v>
      </c>
      <c r="J21" s="92" t="s">
        <v>175</v>
      </c>
      <c r="K21" s="91">
        <v>8</v>
      </c>
      <c r="L21" s="92" t="s">
        <v>158</v>
      </c>
      <c r="M21" s="92" t="s">
        <v>159</v>
      </c>
      <c r="N21" s="209" t="s">
        <v>162</v>
      </c>
      <c r="O21" s="209" t="s">
        <v>163</v>
      </c>
      <c r="P21" s="209" t="s">
        <v>140</v>
      </c>
      <c r="Q21" s="209" t="s">
        <v>146</v>
      </c>
      <c r="R21" s="208">
        <v>6</v>
      </c>
      <c r="S21" s="210" t="s">
        <v>147</v>
      </c>
    </row>
    <row r="22" spans="2:19" ht="24.95" customHeight="1" thickBot="1" x14ac:dyDescent="0.35">
      <c r="B22" s="207"/>
      <c r="C22" s="203"/>
      <c r="D22" s="201"/>
      <c r="E22" s="201"/>
      <c r="F22" s="201"/>
      <c r="G22" s="201"/>
      <c r="H22" s="90">
        <v>4</v>
      </c>
      <c r="I22" s="90" t="s">
        <v>194</v>
      </c>
      <c r="J22" s="90" t="s">
        <v>139</v>
      </c>
      <c r="K22" s="90">
        <v>4</v>
      </c>
      <c r="L22" s="90" t="s">
        <v>162</v>
      </c>
      <c r="M22" s="90" t="s">
        <v>188</v>
      </c>
      <c r="N22" s="201"/>
      <c r="O22" s="201"/>
      <c r="P22" s="201"/>
      <c r="Q22" s="201"/>
      <c r="R22" s="203"/>
      <c r="S22" s="205"/>
    </row>
    <row r="23" spans="2:19" ht="24.95" customHeight="1" x14ac:dyDescent="0.3">
      <c r="B23" s="217" t="s">
        <v>195</v>
      </c>
      <c r="C23" s="208" t="s">
        <v>196</v>
      </c>
      <c r="D23" s="209" t="s">
        <v>197</v>
      </c>
      <c r="E23" s="209" t="s">
        <v>198</v>
      </c>
      <c r="F23" s="208" t="s">
        <v>199</v>
      </c>
      <c r="G23" s="208" t="s">
        <v>200</v>
      </c>
      <c r="H23" s="91">
        <v>8</v>
      </c>
      <c r="I23" s="92" t="s">
        <v>201</v>
      </c>
      <c r="J23" s="92" t="s">
        <v>202</v>
      </c>
      <c r="K23" s="91">
        <v>8</v>
      </c>
      <c r="L23" s="92" t="s">
        <v>183</v>
      </c>
      <c r="M23" s="92" t="s">
        <v>203</v>
      </c>
      <c r="N23" s="209" t="s">
        <v>162</v>
      </c>
      <c r="O23" s="209" t="s">
        <v>163</v>
      </c>
      <c r="P23" s="209" t="s">
        <v>187</v>
      </c>
      <c r="Q23" s="209" t="s">
        <v>204</v>
      </c>
      <c r="R23" s="208">
        <v>6</v>
      </c>
      <c r="S23" s="210" t="s">
        <v>205</v>
      </c>
    </row>
    <row r="24" spans="2:19" ht="24.95" customHeight="1" thickBot="1" x14ac:dyDescent="0.35">
      <c r="B24" s="218"/>
      <c r="C24" s="215"/>
      <c r="D24" s="216"/>
      <c r="E24" s="216"/>
      <c r="F24" s="215"/>
      <c r="G24" s="215"/>
      <c r="H24" s="93">
        <v>4</v>
      </c>
      <c r="I24" s="93" t="s">
        <v>206</v>
      </c>
      <c r="J24" s="93" t="s">
        <v>207</v>
      </c>
      <c r="K24" s="93">
        <v>4</v>
      </c>
      <c r="L24" s="93" t="s">
        <v>208</v>
      </c>
      <c r="M24" s="93" t="s">
        <v>158</v>
      </c>
      <c r="N24" s="216"/>
      <c r="O24" s="216"/>
      <c r="P24" s="216"/>
      <c r="Q24" s="216"/>
      <c r="R24" s="215"/>
      <c r="S24" s="212"/>
    </row>
    <row r="25" spans="2:19" ht="17.25" thickTop="1" x14ac:dyDescent="0.3"/>
  </sheetData>
  <mergeCells count="127">
    <mergeCell ref="P5:P6"/>
    <mergeCell ref="Q5:Q6"/>
    <mergeCell ref="R5:R6"/>
    <mergeCell ref="S5:S6"/>
    <mergeCell ref="B5:B6"/>
    <mergeCell ref="C5:C6"/>
    <mergeCell ref="D5:D6"/>
    <mergeCell ref="E5:E6"/>
    <mergeCell ref="F5:F6"/>
    <mergeCell ref="G5:G6"/>
    <mergeCell ref="P7:P8"/>
    <mergeCell ref="Q7:Q8"/>
    <mergeCell ref="R7:R8"/>
    <mergeCell ref="S7:S8"/>
    <mergeCell ref="B7:B8"/>
    <mergeCell ref="C7:C8"/>
    <mergeCell ref="D7:D8"/>
    <mergeCell ref="E7:E8"/>
    <mergeCell ref="F7:F8"/>
    <mergeCell ref="G7:G8"/>
    <mergeCell ref="P9:P10"/>
    <mergeCell ref="Q9:Q10"/>
    <mergeCell ref="R9:R10"/>
    <mergeCell ref="S9:S10"/>
    <mergeCell ref="B9:B10"/>
    <mergeCell ref="C9:C10"/>
    <mergeCell ref="D9:D10"/>
    <mergeCell ref="E9:E10"/>
    <mergeCell ref="F9:F10"/>
    <mergeCell ref="G9:G10"/>
    <mergeCell ref="D3:E3"/>
    <mergeCell ref="F3:G3"/>
    <mergeCell ref="H3:J3"/>
    <mergeCell ref="K3:M3"/>
    <mergeCell ref="N3:O3"/>
    <mergeCell ref="B11:B12"/>
    <mergeCell ref="C11:C12"/>
    <mergeCell ref="D11:D12"/>
    <mergeCell ref="E11:E12"/>
    <mergeCell ref="F11:F12"/>
    <mergeCell ref="N9:N10"/>
    <mergeCell ref="O9:O10"/>
    <mergeCell ref="N7:N8"/>
    <mergeCell ref="O7:O8"/>
    <mergeCell ref="N5:N6"/>
    <mergeCell ref="O5:O6"/>
    <mergeCell ref="S11:S12"/>
    <mergeCell ref="B13:B14"/>
    <mergeCell ref="C13:C14"/>
    <mergeCell ref="D13:D14"/>
    <mergeCell ref="E13:E14"/>
    <mergeCell ref="F13:F14"/>
    <mergeCell ref="G13:G14"/>
    <mergeCell ref="N13:N14"/>
    <mergeCell ref="O13:O14"/>
    <mergeCell ref="P13:P14"/>
    <mergeCell ref="G11:G12"/>
    <mergeCell ref="N11:N12"/>
    <mergeCell ref="O11:O12"/>
    <mergeCell ref="P11:P12"/>
    <mergeCell ref="Q11:Q12"/>
    <mergeCell ref="R11:R12"/>
    <mergeCell ref="Q13:Q14"/>
    <mergeCell ref="R13:R14"/>
    <mergeCell ref="S13:S14"/>
    <mergeCell ref="G19:G20"/>
    <mergeCell ref="N19:N20"/>
    <mergeCell ref="O19:O20"/>
    <mergeCell ref="P19:P20"/>
    <mergeCell ref="G17:G18"/>
    <mergeCell ref="B15:B16"/>
    <mergeCell ref="C15:C16"/>
    <mergeCell ref="D15:D16"/>
    <mergeCell ref="E15:E16"/>
    <mergeCell ref="F15:F16"/>
    <mergeCell ref="G15:G16"/>
    <mergeCell ref="N15:N16"/>
    <mergeCell ref="O15:O16"/>
    <mergeCell ref="P15:P16"/>
    <mergeCell ref="S23:S24"/>
    <mergeCell ref="B1:S1"/>
    <mergeCell ref="B2:S2"/>
    <mergeCell ref="G23:G24"/>
    <mergeCell ref="N23:N24"/>
    <mergeCell ref="O23:O24"/>
    <mergeCell ref="P23:P24"/>
    <mergeCell ref="Q23:Q24"/>
    <mergeCell ref="R23:R24"/>
    <mergeCell ref="O21:O22"/>
    <mergeCell ref="P21:P22"/>
    <mergeCell ref="Q21:Q22"/>
    <mergeCell ref="R21:R22"/>
    <mergeCell ref="S21:S22"/>
    <mergeCell ref="B23:B24"/>
    <mergeCell ref="C23:C24"/>
    <mergeCell ref="D23:D24"/>
    <mergeCell ref="E23:E24"/>
    <mergeCell ref="F23:F24"/>
    <mergeCell ref="Q15:Q16"/>
    <mergeCell ref="R15:R16"/>
    <mergeCell ref="S15:S16"/>
    <mergeCell ref="B17:B18"/>
    <mergeCell ref="C17:C18"/>
    <mergeCell ref="Q19:Q20"/>
    <mergeCell ref="R19:R20"/>
    <mergeCell ref="S19:S20"/>
    <mergeCell ref="B21:B22"/>
    <mergeCell ref="C21:C22"/>
    <mergeCell ref="N17:N18"/>
    <mergeCell ref="O17:O18"/>
    <mergeCell ref="P17:P18"/>
    <mergeCell ref="Q17:Q18"/>
    <mergeCell ref="R17:R18"/>
    <mergeCell ref="D17:D18"/>
    <mergeCell ref="E17:E18"/>
    <mergeCell ref="F17:F18"/>
    <mergeCell ref="D21:D22"/>
    <mergeCell ref="E21:E22"/>
    <mergeCell ref="F21:F22"/>
    <mergeCell ref="G21:G22"/>
    <mergeCell ref="N21:N22"/>
    <mergeCell ref="S17:S18"/>
    <mergeCell ref="B19:B20"/>
    <mergeCell ref="C19:C20"/>
    <mergeCell ref="D19:D20"/>
    <mergeCell ref="E19:E20"/>
    <mergeCell ref="F19:F20"/>
  </mergeCells>
  <phoneticPr fontId="1" type="noConversion"/>
  <pageMargins left="0.7" right="0.7" top="0.75" bottom="0.75" header="0.3" footer="0.3"/>
  <pageSetup paperSize="9" scale="6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C1A3-3C3A-47AD-9B8F-960EE36EACF1}">
  <dimension ref="C4:I13"/>
  <sheetViews>
    <sheetView zoomScaleNormal="100" zoomScaleSheetLayoutView="110" workbookViewId="0">
      <selection activeCell="I10" sqref="I10"/>
    </sheetView>
  </sheetViews>
  <sheetFormatPr defaultColWidth="9" defaultRowHeight="16.5" x14ac:dyDescent="0.3"/>
  <cols>
    <col min="1" max="2" width="9" style="8"/>
    <col min="3" max="3" width="30.875" style="8" customWidth="1"/>
    <col min="4" max="4" width="14.125" style="8" bestFit="1" customWidth="1"/>
    <col min="5" max="5" width="23.75" style="8" bestFit="1" customWidth="1"/>
    <col min="6" max="6" width="24.5" style="8" bestFit="1" customWidth="1"/>
    <col min="7" max="7" width="24.625" style="8" bestFit="1" customWidth="1"/>
    <col min="8" max="8" width="31.875" style="8" customWidth="1"/>
    <col min="9" max="9" width="30.75" style="8" bestFit="1" customWidth="1"/>
    <col min="10" max="16384" width="9" style="8"/>
  </cols>
  <sheetData>
    <row r="4" spans="3:9" x14ac:dyDescent="0.3"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6" t="s">
        <v>56</v>
      </c>
      <c r="I4" s="7" t="s">
        <v>57</v>
      </c>
    </row>
    <row r="5" spans="3:9" x14ac:dyDescent="0.3">
      <c r="C5" s="9" t="s">
        <v>58</v>
      </c>
      <c r="D5" s="9">
        <v>37</v>
      </c>
      <c r="E5" s="9">
        <v>15000</v>
      </c>
      <c r="F5" s="9">
        <v>99.2</v>
      </c>
      <c r="G5" s="9">
        <v>99.4</v>
      </c>
      <c r="H5" s="9" t="s">
        <v>59</v>
      </c>
      <c r="I5" s="9" t="s">
        <v>60</v>
      </c>
    </row>
    <row r="6" spans="3:9" x14ac:dyDescent="0.3">
      <c r="C6" s="9" t="s">
        <v>61</v>
      </c>
      <c r="D6" s="9">
        <v>37</v>
      </c>
      <c r="E6" s="9">
        <v>12000</v>
      </c>
      <c r="F6" s="9">
        <v>99.4</v>
      </c>
      <c r="G6" s="9">
        <v>99.7</v>
      </c>
      <c r="H6" s="9"/>
      <c r="I6" s="9" t="s">
        <v>62</v>
      </c>
    </row>
    <row r="7" spans="3:9" x14ac:dyDescent="0.3">
      <c r="C7" s="9" t="s">
        <v>63</v>
      </c>
      <c r="D7" s="9">
        <v>41</v>
      </c>
      <c r="E7" s="9">
        <v>24000</v>
      </c>
      <c r="F7" s="9">
        <v>99.55</v>
      </c>
      <c r="G7" s="9">
        <v>99.7</v>
      </c>
      <c r="H7" s="9"/>
      <c r="I7" s="9" t="s">
        <v>64</v>
      </c>
    </row>
    <row r="8" spans="3:9" x14ac:dyDescent="0.3">
      <c r="C8" s="9" t="s">
        <v>65</v>
      </c>
      <c r="D8" s="9">
        <v>41</v>
      </c>
      <c r="E8" s="9">
        <v>12500</v>
      </c>
      <c r="F8" s="9">
        <v>99.6</v>
      </c>
      <c r="G8" s="9">
        <v>99.8</v>
      </c>
      <c r="H8" s="9"/>
      <c r="I8" s="9" t="s">
        <v>64</v>
      </c>
    </row>
    <row r="9" spans="3:9" x14ac:dyDescent="0.3">
      <c r="C9" s="9" t="s">
        <v>66</v>
      </c>
      <c r="D9" s="9">
        <v>37.200000000000003</v>
      </c>
      <c r="E9" s="9">
        <v>11000</v>
      </c>
      <c r="F9" s="9">
        <v>99</v>
      </c>
      <c r="G9" s="9">
        <v>99.5</v>
      </c>
      <c r="H9" s="9" t="s">
        <v>67</v>
      </c>
      <c r="I9" s="9" t="s">
        <v>68</v>
      </c>
    </row>
    <row r="10" spans="3:9" ht="33" x14ac:dyDescent="0.3">
      <c r="C10" s="9" t="s">
        <v>69</v>
      </c>
      <c r="D10" s="9">
        <v>37</v>
      </c>
      <c r="E10" s="9">
        <v>11000</v>
      </c>
      <c r="F10" s="9">
        <v>99.35</v>
      </c>
      <c r="G10" s="9">
        <v>99.5</v>
      </c>
      <c r="H10" s="10" t="s">
        <v>70</v>
      </c>
      <c r="I10" s="9" t="s">
        <v>71</v>
      </c>
    </row>
    <row r="11" spans="3:9" x14ac:dyDescent="0.3">
      <c r="C11" s="9" t="s">
        <v>72</v>
      </c>
      <c r="D11" s="9">
        <v>40.9</v>
      </c>
      <c r="E11" s="9">
        <v>12000</v>
      </c>
      <c r="F11" s="9">
        <v>99.3</v>
      </c>
      <c r="G11" s="9">
        <v>99.8</v>
      </c>
      <c r="H11" s="9"/>
      <c r="I11" s="9" t="s">
        <v>73</v>
      </c>
    </row>
    <row r="12" spans="3:9" x14ac:dyDescent="0.3">
      <c r="C12" s="226" t="s">
        <v>74</v>
      </c>
      <c r="D12" s="9">
        <v>37.200000000000003</v>
      </c>
      <c r="E12" s="9">
        <v>11000</v>
      </c>
      <c r="F12" s="9">
        <v>99.3</v>
      </c>
      <c r="G12" s="9">
        <v>99.7</v>
      </c>
      <c r="H12" s="9"/>
      <c r="I12" s="9" t="s">
        <v>73</v>
      </c>
    </row>
    <row r="13" spans="3:9" x14ac:dyDescent="0.3">
      <c r="C13" s="9" t="s">
        <v>75</v>
      </c>
      <c r="D13" s="9">
        <v>41</v>
      </c>
      <c r="E13" s="9">
        <v>12650</v>
      </c>
      <c r="F13" s="9">
        <v>99.65</v>
      </c>
      <c r="G13" s="9">
        <v>99.8</v>
      </c>
      <c r="H13" s="9"/>
      <c r="I13" s="9" t="s">
        <v>73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AC9F-2D34-4817-BAE9-A97754DF3937}">
  <dimension ref="B1:U15"/>
  <sheetViews>
    <sheetView tabSelected="1" workbookViewId="0">
      <selection activeCell="O15" sqref="O15"/>
    </sheetView>
  </sheetViews>
  <sheetFormatPr defaultRowHeight="16.5" x14ac:dyDescent="0.3"/>
  <sheetData>
    <row r="1" spans="2:21" x14ac:dyDescent="0.3">
      <c r="B1" s="228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30"/>
    </row>
    <row r="2" spans="2:21" x14ac:dyDescent="0.3">
      <c r="B2" s="50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 t="s">
        <v>243</v>
      </c>
      <c r="Q2" s="49" t="s">
        <v>228</v>
      </c>
    </row>
    <row r="3" spans="2:21" x14ac:dyDescent="0.3">
      <c r="B3" s="50" t="s">
        <v>215</v>
      </c>
      <c r="C3" s="231" t="s">
        <v>235</v>
      </c>
      <c r="D3" s="231"/>
      <c r="E3" s="232" t="s">
        <v>236</v>
      </c>
      <c r="F3" s="232"/>
      <c r="G3" s="104"/>
      <c r="H3" s="104" t="s">
        <v>237</v>
      </c>
      <c r="I3" s="104" t="s">
        <v>238</v>
      </c>
      <c r="J3" s="104" t="s">
        <v>235</v>
      </c>
      <c r="K3" s="104" t="s">
        <v>239</v>
      </c>
      <c r="L3" s="104"/>
      <c r="M3" s="233" t="s">
        <v>240</v>
      </c>
      <c r="N3" s="104"/>
      <c r="O3" s="104" t="s">
        <v>241</v>
      </c>
      <c r="P3" s="104" t="s">
        <v>235</v>
      </c>
      <c r="Q3" s="49" t="s">
        <v>242</v>
      </c>
      <c r="R3" s="239"/>
      <c r="S3" s="227" t="s">
        <v>244</v>
      </c>
      <c r="T3" s="227"/>
      <c r="U3" s="227"/>
    </row>
    <row r="4" spans="2:21" x14ac:dyDescent="0.3">
      <c r="B4" s="50" t="s">
        <v>234</v>
      </c>
      <c r="C4" s="104">
        <v>41.5</v>
      </c>
      <c r="D4" s="104" t="s">
        <v>7</v>
      </c>
      <c r="E4" s="104">
        <v>15</v>
      </c>
      <c r="F4" s="104" t="s">
        <v>28</v>
      </c>
      <c r="G4" s="104"/>
      <c r="H4" s="104">
        <v>85</v>
      </c>
      <c r="I4" s="104">
        <v>2.0350000000000001</v>
      </c>
      <c r="J4" s="234">
        <v>1.73</v>
      </c>
      <c r="K4" s="104">
        <v>0.30499999999999999</v>
      </c>
      <c r="L4" s="104"/>
      <c r="M4" s="104">
        <v>11.673</v>
      </c>
      <c r="N4" s="104"/>
      <c r="O4" s="104">
        <f>I4*M4</f>
        <v>23.754555000000003</v>
      </c>
      <c r="P4" s="104">
        <f>J4*M4</f>
        <v>20.194289999999999</v>
      </c>
      <c r="Q4" s="49">
        <f>K4*M4</f>
        <v>3.5602649999999998</v>
      </c>
      <c r="S4" s="227"/>
      <c r="T4" s="227"/>
      <c r="U4" s="227"/>
    </row>
    <row r="5" spans="2:21" x14ac:dyDescent="0.3">
      <c r="B5" s="50"/>
      <c r="C5" s="235">
        <f>C4/24</f>
        <v>1.7291666666666667</v>
      </c>
      <c r="D5" s="104" t="s">
        <v>125</v>
      </c>
      <c r="E5" s="104"/>
      <c r="F5" s="104"/>
      <c r="G5" s="104"/>
      <c r="H5" s="104">
        <v>90</v>
      </c>
      <c r="I5" s="104">
        <v>1.9219999999999999</v>
      </c>
      <c r="J5" s="234">
        <v>1.73</v>
      </c>
      <c r="K5" s="104">
        <v>0.192</v>
      </c>
      <c r="L5" s="104"/>
      <c r="M5" s="104">
        <v>14.17</v>
      </c>
      <c r="N5" s="104"/>
      <c r="O5" s="104">
        <f t="shared" ref="O5:O6" si="0">I5*M5</f>
        <v>27.234739999999999</v>
      </c>
      <c r="P5" s="104">
        <f t="shared" ref="P5:P6" si="1">J5*M5</f>
        <v>24.514099999999999</v>
      </c>
      <c r="Q5" s="49">
        <f t="shared" ref="Q5:Q6" si="2">K5*M5</f>
        <v>2.7206399999999999</v>
      </c>
      <c r="S5" s="227"/>
      <c r="T5" s="227"/>
      <c r="U5" s="227"/>
    </row>
    <row r="6" spans="2:21" x14ac:dyDescent="0.3">
      <c r="B6" s="50"/>
      <c r="C6" s="104"/>
      <c r="D6" s="104"/>
      <c r="E6" s="104"/>
      <c r="F6" s="104"/>
      <c r="G6" s="104"/>
      <c r="H6" s="104">
        <v>95</v>
      </c>
      <c r="I6" s="104">
        <v>1.82</v>
      </c>
      <c r="J6" s="234">
        <v>1.73</v>
      </c>
      <c r="K6" s="104">
        <v>0.09</v>
      </c>
      <c r="L6" s="104"/>
      <c r="M6" s="104">
        <v>18.43</v>
      </c>
      <c r="N6" s="104"/>
      <c r="O6" s="104">
        <f t="shared" si="0"/>
        <v>33.5426</v>
      </c>
      <c r="P6" s="104">
        <f t="shared" si="1"/>
        <v>31.883900000000001</v>
      </c>
      <c r="Q6" s="49">
        <f t="shared" si="2"/>
        <v>1.6586999999999998</v>
      </c>
    </row>
    <row r="7" spans="2:21" x14ac:dyDescent="0.3">
      <c r="B7" s="50"/>
      <c r="C7" s="104"/>
      <c r="D7" s="104"/>
      <c r="E7" s="104"/>
      <c r="F7" s="104"/>
      <c r="G7" s="104"/>
      <c r="H7" s="104"/>
      <c r="I7" s="104"/>
      <c r="J7" s="234"/>
      <c r="K7" s="104"/>
      <c r="L7" s="104"/>
      <c r="M7" s="104"/>
      <c r="N7" s="104"/>
      <c r="O7" s="104"/>
      <c r="P7" s="104"/>
      <c r="Q7" s="49"/>
    </row>
    <row r="8" spans="2:21" ht="17.25" thickBot="1" x14ac:dyDescent="0.35">
      <c r="B8" s="236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8"/>
    </row>
    <row r="13" spans="2:21" x14ac:dyDescent="0.3">
      <c r="S13" s="227" t="s">
        <v>245</v>
      </c>
      <c r="T13" s="227"/>
      <c r="U13" s="227"/>
    </row>
    <row r="14" spans="2:21" x14ac:dyDescent="0.3">
      <c r="S14" s="227"/>
      <c r="T14" s="227"/>
      <c r="U14" s="227"/>
    </row>
    <row r="15" spans="2:21" x14ac:dyDescent="0.3">
      <c r="S15" s="227"/>
      <c r="T15" s="227"/>
      <c r="U15" s="227"/>
    </row>
  </sheetData>
  <mergeCells count="4">
    <mergeCell ref="C3:D3"/>
    <mergeCell ref="E3:F3"/>
    <mergeCell ref="S3:U5"/>
    <mergeCell ref="S13:U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CCRO표지</vt:lpstr>
      <vt:lpstr>유입원수성상</vt:lpstr>
      <vt:lpstr>PF,CC</vt:lpstr>
      <vt:lpstr>Guide Line</vt:lpstr>
      <vt:lpstr>RO 막 비교표</vt:lpstr>
      <vt:lpstr>용량 계산</vt:lpstr>
      <vt:lpstr>CCRO표지!Print_Area</vt:lpstr>
      <vt:lpstr>'Guide Line'!Print_Area</vt:lpstr>
      <vt:lpstr>'PF,CC'!Print_Area</vt:lpstr>
      <vt:lpstr>유입원수성상!Print_Area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2023-08-28T03:58:06Z</cp:lastPrinted>
  <dcterms:created xsi:type="dcterms:W3CDTF">2023-07-28T03:19:30Z</dcterms:created>
  <dcterms:modified xsi:type="dcterms:W3CDTF">2023-08-28T04:50:30Z</dcterms:modified>
</cp:coreProperties>
</file>